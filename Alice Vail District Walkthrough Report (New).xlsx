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defaultThemeVersion="124226"/>
  <mc:AlternateContent xmlns:mc="http://schemas.openxmlformats.org/markup-compatibility/2006">
    <mc:Choice Requires="x15">
      <x15ac:absPath xmlns:x15ac="http://schemas.microsoft.com/office/spreadsheetml/2010/11/ac" url="https://tusd1-my.sharepoint.com/personal/tawnee_arrieta_tusd1_org/Documents/Desktop/Alice Vail/"/>
    </mc:Choice>
  </mc:AlternateContent>
  <xr:revisionPtr revIDLastSave="103" documentId="8_{2BBB52CD-3AE3-4FF4-B48D-B6C299CAA6D6}" xr6:coauthVersionLast="47" xr6:coauthVersionMax="47" xr10:uidLastSave="{112ECE41-357A-4E29-9EDA-D724828DB1FC}"/>
  <bookViews>
    <workbookView xWindow="-108" yWindow="-108" windowWidth="23256" windowHeight="12456" activeTab="3" xr2:uid="{00000000-000D-0000-FFFF-FFFF00000000}"/>
  </bookViews>
  <sheets>
    <sheet name="Cover" sheetId="13" r:id="rId1"/>
    <sheet name="Checklist" sheetId="25" r:id="rId2"/>
    <sheet name="Fall - Data" sheetId="50" r:id="rId3"/>
    <sheet name="Fall- Report" sheetId="51" r:id="rId4"/>
    <sheet name="Fall 2 - Data " sheetId="46" r:id="rId5"/>
    <sheet name="Fall 2- Report " sheetId="45" r:id="rId6"/>
    <sheet name="Charts" sheetId="49" r:id="rId7"/>
    <sheet name="A &amp; E School Report" sheetId="47" r:id="rId8"/>
    <sheet name="Attendance" sheetId="48" r:id="rId9"/>
  </sheets>
  <definedNames>
    <definedName name="_xlnm._FilterDatabase" localSheetId="2" hidden="1">'Fall - Data'!$A$8:$M$426</definedName>
    <definedName name="_xlnm._FilterDatabase" localSheetId="4" hidden="1">'Fall 2 - Data '!$A$8:$M$427</definedName>
    <definedName name="_xlnm.Print_Area" localSheetId="0">Cover!$A$2:$M$48</definedName>
    <definedName name="_xlnm.Print_Area" localSheetId="2">'Fall - Data'!$A$1:$H$112</definedName>
    <definedName name="_xlnm.Print_Area" localSheetId="4">'Fall 2 - Data '!$A$1:$H$113</definedName>
    <definedName name="_xlnm.Print_Area" localSheetId="5">'Fall 2- Report '!$A:$B</definedName>
    <definedName name="_xlnm.Print_Area" localSheetId="3">'Fall- Report'!$A:$B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 i="51" l="1"/>
  <c r="B19" i="51"/>
  <c r="B20" i="51"/>
  <c r="B21" i="51"/>
  <c r="B2" i="51"/>
  <c r="H1" i="50"/>
  <c r="E6" i="46" l="1"/>
  <c r="G5" i="46"/>
  <c r="Z5" i="46"/>
  <c r="J5" i="46"/>
  <c r="Q5" i="46"/>
  <c r="V6" i="46"/>
  <c r="F5" i="46"/>
  <c r="P5" i="46"/>
  <c r="M5" i="46"/>
  <c r="S5" i="46"/>
  <c r="V5" i="46"/>
  <c r="Y5" i="46"/>
  <c r="AB5" i="46"/>
  <c r="T5" i="46"/>
  <c r="L5" i="46"/>
  <c r="D5" i="46"/>
  <c r="E5" i="46"/>
  <c r="X5" i="46"/>
  <c r="H5" i="46"/>
  <c r="K5" i="46"/>
  <c r="C5" i="46"/>
  <c r="D5" i="50"/>
  <c r="C5" i="50"/>
  <c r="S5" i="50"/>
  <c r="O5" i="50"/>
  <c r="M5" i="50"/>
  <c r="K5" i="50"/>
  <c r="V5" i="50"/>
  <c r="E5" i="50"/>
  <c r="T5" i="50"/>
  <c r="G5" i="50"/>
  <c r="AB5" i="50"/>
  <c r="L5" i="50"/>
  <c r="F5" i="50"/>
  <c r="X5" i="50"/>
  <c r="P5" i="50"/>
  <c r="H5" i="50"/>
  <c r="Z5" i="50"/>
  <c r="J5" i="50"/>
  <c r="Y5" i="50"/>
  <c r="Q5" i="50"/>
  <c r="V6" i="50"/>
  <c r="A2" i="51"/>
  <c r="E1" i="50"/>
  <c r="H1" i="46"/>
  <c r="B2" i="45"/>
  <c r="Z6" i="50" l="1"/>
  <c r="E6" i="50"/>
  <c r="AF28" i="49" s="1"/>
  <c r="F6" i="50"/>
  <c r="AF29" i="49" s="1"/>
  <c r="P6" i="50"/>
  <c r="AB6" i="50"/>
  <c r="G6" i="50"/>
  <c r="AF30" i="49" s="1"/>
  <c r="Q6" i="50"/>
  <c r="AC6" i="50"/>
  <c r="J6" i="50"/>
  <c r="T6" i="50"/>
  <c r="S6" i="50"/>
  <c r="B6" i="50"/>
  <c r="AF25" i="49" s="1"/>
  <c r="B5" i="50"/>
  <c r="K6" i="50"/>
  <c r="O6" i="50"/>
  <c r="H6" i="50"/>
  <c r="AF31" i="49" s="1"/>
  <c r="C6" i="50"/>
  <c r="AF26" i="49" s="1"/>
  <c r="L6" i="50"/>
  <c r="X6" i="50"/>
  <c r="D6" i="50"/>
  <c r="AF27" i="49" s="1"/>
  <c r="M6" i="50"/>
  <c r="Y6" i="50"/>
  <c r="AC5" i="50"/>
  <c r="H6" i="46"/>
  <c r="G6" i="46"/>
  <c r="F6" i="46"/>
  <c r="D6" i="46"/>
  <c r="C6" i="46"/>
  <c r="B6" i="46"/>
  <c r="A2" i="45"/>
  <c r="E1" i="46"/>
  <c r="E43" i="46" l="1"/>
  <c r="AG28" i="49"/>
  <c r="AH28" i="49" s="1"/>
  <c r="F43" i="46"/>
  <c r="AG29" i="49"/>
  <c r="AH29" i="49" s="1"/>
  <c r="H43" i="46"/>
  <c r="AG31" i="49"/>
  <c r="AH31" i="49" s="1"/>
  <c r="G43" i="46"/>
  <c r="AG30" i="49"/>
  <c r="AH30" i="49" s="1"/>
  <c r="B43" i="46"/>
  <c r="AG25" i="49"/>
  <c r="AH25" i="49" s="1"/>
  <c r="C43" i="46"/>
  <c r="AG26" i="49"/>
  <c r="AH26" i="49" s="1"/>
  <c r="D43" i="46"/>
  <c r="AG27" i="49"/>
  <c r="AH27" i="49" s="1"/>
  <c r="G43" i="50"/>
  <c r="Z43" i="50"/>
  <c r="B9" i="51"/>
  <c r="F43" i="50"/>
  <c r="L43" i="50"/>
  <c r="S43" i="50"/>
  <c r="V43" i="50"/>
  <c r="Y43" i="50"/>
  <c r="Q43" i="50"/>
  <c r="P43" i="50"/>
  <c r="O43" i="50"/>
  <c r="B11" i="51"/>
  <c r="H43" i="50"/>
  <c r="T43" i="50"/>
  <c r="K43" i="50"/>
  <c r="M43" i="50"/>
  <c r="B8" i="51"/>
  <c r="E43" i="50"/>
  <c r="AC43" i="50"/>
  <c r="J43" i="50"/>
  <c r="B7" i="51"/>
  <c r="D43" i="50"/>
  <c r="X43" i="50"/>
  <c r="B6" i="51"/>
  <c r="C43" i="50"/>
  <c r="AB43" i="50"/>
  <c r="B5" i="51"/>
  <c r="B43" i="50"/>
  <c r="B10" i="51"/>
  <c r="AC6" i="46"/>
  <c r="AC43" i="46" s="1"/>
  <c r="AB6" i="46"/>
  <c r="AB43" i="46" s="1"/>
  <c r="Z6" i="46"/>
  <c r="Z43" i="46" s="1"/>
  <c r="Y6" i="46"/>
  <c r="Y43" i="46" s="1"/>
  <c r="X6" i="46"/>
  <c r="X43" i="46" s="1"/>
  <c r="V43" i="46"/>
  <c r="T6" i="46"/>
  <c r="T43" i="46" s="1"/>
  <c r="S6" i="46"/>
  <c r="S43" i="46" s="1"/>
  <c r="Q6" i="46"/>
  <c r="Q43" i="46" s="1"/>
  <c r="P6" i="46"/>
  <c r="P43" i="46" s="1"/>
  <c r="O6" i="46"/>
  <c r="O43" i="46" s="1"/>
  <c r="M6" i="46"/>
  <c r="M43" i="46" s="1"/>
  <c r="L6" i="46"/>
  <c r="L43" i="46" s="1"/>
  <c r="K6" i="46"/>
  <c r="K43" i="46" s="1"/>
  <c r="J6" i="46"/>
  <c r="J43" i="46" s="1"/>
  <c r="AC5" i="46"/>
  <c r="O5" i="46"/>
  <c r="B6" i="45"/>
  <c r="B7" i="45"/>
  <c r="B8" i="45"/>
  <c r="B9" i="45"/>
  <c r="B10" i="45"/>
  <c r="B11" i="45"/>
  <c r="B5" i="46"/>
  <c r="B5" i="45"/>
  <c r="B64" i="45" l="1"/>
  <c r="B39" i="45"/>
  <c r="B20" i="45"/>
  <c r="B21" i="45"/>
  <c r="B47" i="45"/>
  <c r="B22" i="45"/>
  <c r="B54" i="45"/>
  <c r="B55" i="45"/>
  <c r="B30" i="45"/>
  <c r="B56" i="45"/>
  <c r="B40" i="45"/>
  <c r="B23" i="45"/>
  <c r="B31" i="45"/>
  <c r="B63" i="45"/>
  <c r="B32" i="45"/>
</calcChain>
</file>

<file path=xl/sharedStrings.xml><?xml version="1.0" encoding="utf-8"?>
<sst xmlns="http://schemas.openxmlformats.org/spreadsheetml/2006/main" count="379" uniqueCount="191">
  <si>
    <t>School Name:</t>
  </si>
  <si>
    <t>Fall Semester  Visit:</t>
  </si>
  <si>
    <t>Lead Coordinator:</t>
  </si>
  <si>
    <t>Spring Semester  Visit:</t>
  </si>
  <si>
    <t>This document is used to collect trend data.  It is not an evaluation tool.</t>
  </si>
  <si>
    <t>The TUSD Walkthrough Form will be used to gather data.</t>
  </si>
  <si>
    <t>TUSD                                       School Walkthrough Checklist</t>
  </si>
  <si>
    <t>This walkthrough is part of the monitor &amp; evaluate strategy found in the district and school IAPs. The goal of this walkthrough is to gather summary data that the principal &amp; school can use as part of the school improvement process. The TUSD Walkthrough Form will be used to gather data.</t>
  </si>
  <si>
    <r>
      <t>School Responsibility</t>
    </r>
    <r>
      <rPr>
        <sz val="11"/>
        <color theme="1"/>
        <rFont val="Aptos"/>
        <family val="2"/>
        <charset val="1"/>
      </rPr>
      <t xml:space="preserve"> 
• Provide a working space for the team to meet.  
• Develop a walkthrough schedule allowing each class to be visited once for about 15 minutes and a 5 minute debrief. Only 3 classes per hour. Team size will vary depending on school size and participants.</t>
    </r>
  </si>
  <si>
    <r>
      <rPr>
        <b/>
        <sz val="11"/>
        <color rgb="FF000000"/>
        <rFont val="Aptos"/>
        <family val="2"/>
      </rPr>
      <t xml:space="preserve">Introductions/Purpose (30 minutes) 
</t>
    </r>
    <r>
      <rPr>
        <sz val="11"/>
        <color rgb="FF000000"/>
        <rFont val="Aptos"/>
        <family val="2"/>
      </rPr>
      <t xml:space="preserve">• Introductions of all group members  
• Coordinator: State the purpose of the visit, “This document is used to collect trend data. It is not an evaluation tool. The TUSD Walkthrough Form will be used to gather data for the principal &amp; school.” 
• Principal shares:  Current Highlights at the school.  
• Principal shares: Initiatives, strategies, and areas that they would like the team to be aware of and focus on: (i.e., engagement, levels of questioning, Teacher Clarity, AVID strategies)  
• Let's  Review the walkthrough process, observation instrument
• Pass out and review the TUSD Walkthrough Form. Be sure to share the following:
        • There are 7 categories, one more than the previous year. Classroom Environment was added.
        • Even with the changes the walkthrough instrument is still about 75% based on Danielson indicators. 
        • Rather than rating proficiency, you will be looking for evidence of each indicator.  Document your evidence. 
        • Remind participants that they will collect evidence from each classroom and reach consensus scores for each indicator.
        • New this year is the addition of program-specific walkthrough indicators, which will be completed by department experts. 
• Coordinator: Take a moment and share the QR code for the state standards website prior to starting the walkthrough.  </t>
    </r>
  </si>
  <si>
    <r>
      <t xml:space="preserve">Walkthrough (2 hours &amp; 0 minutes max) 
</t>
    </r>
    <r>
      <rPr>
        <sz val="11"/>
        <color rgb="FF000000"/>
        <rFont val="Calibri"/>
        <family val="2"/>
        <scheme val="minor"/>
      </rPr>
      <t xml:space="preserve">• We will visit classrooms for 15 minutes and use the TUSD Observational Instrument to collect evidence for all 7 categories. 
Department representatives will follow the same time frame but will complete specific indicators. 
• After each observation, teams will have 5 minutes to discuss the evidence gathered and reach a consensus score. If department-specific team has more than one representative, they will also take 5 minutes to reach their own consensus score. 
• Remind teams that a category can receive a score of a zero (0).  There should be no N/As.  
• Once all observations are complete or if return time is approaching, teams should make their way back to the meeting room. 
</t>
    </r>
  </si>
  <si>
    <r>
      <t xml:space="preserve">Debrief Meeting (30 minutes)
</t>
    </r>
    <r>
      <rPr>
        <sz val="11"/>
        <color rgb="FF000000"/>
        <rFont val="Calibri"/>
        <family val="2"/>
        <scheme val="minor"/>
      </rPr>
      <t xml:space="preserve">• Collect consensus scores from each team and department/program scores. 
• Use your discretion on time allotted to share.
• Each team will share walkthrough trends and 1 to 2 praise and probe/push statements. 
• Begin with department experts; once the trends are shared and department narrative is complete, they may be dismissed. 
• Proceed with the remaining teams, gathering trends along with praise and probe/push statements. 
• Share scores and graphs with group.  
• The principal will be invited to reflect on the walk-through data and share the next steps.  
• Thank everyone for their time and participation. Collect all walkthrough observational instruments. </t>
    </r>
  </si>
  <si>
    <r>
      <t xml:space="preserve">Post Walkthrough
</t>
    </r>
    <r>
      <rPr>
        <sz val="11"/>
        <color theme="1"/>
        <rFont val="Aptos"/>
        <family val="2"/>
      </rPr>
      <t xml:space="preserve">• Share school folder with the principal to access Walkthrough Data and Debrief form.
• The principal will have the option to later share walkthrough data or discuss trends with staff at their discretion. </t>
    </r>
  </si>
  <si>
    <t>CORE</t>
  </si>
  <si>
    <t>Classroom Environment 
(#of indicators = 0-4)</t>
  </si>
  <si>
    <t>Learning Expectations 
(# of Indicators = 0-6)</t>
  </si>
  <si>
    <t>Student Thinking, Problem Solving, Voice 
(# of Indicators = 0-5)</t>
  </si>
  <si>
    <t>Assessment in Instruction 
(# of Indicators = 0-4)</t>
  </si>
  <si>
    <t>Flexibility and Responsiveness
(# of Indicators = 0-5)</t>
  </si>
  <si>
    <t>Integrity of Core Curriculum 
(# of Indicators = 0-3)</t>
  </si>
  <si>
    <t>Classroom 1</t>
  </si>
  <si>
    <t>Classroom 2</t>
  </si>
  <si>
    <t>Classroom 3</t>
  </si>
  <si>
    <t>Classroom 4</t>
  </si>
  <si>
    <t>Classroom 5</t>
  </si>
  <si>
    <t>Classroom 6</t>
  </si>
  <si>
    <t>Classroom 7</t>
  </si>
  <si>
    <t>Classroom 8</t>
  </si>
  <si>
    <t>Classroom 9</t>
  </si>
  <si>
    <t>Classroom 10</t>
  </si>
  <si>
    <t>Classroom 11</t>
  </si>
  <si>
    <t>Classroom 12</t>
  </si>
  <si>
    <t>Classroom 13</t>
  </si>
  <si>
    <t>Classroom 14</t>
  </si>
  <si>
    <t>Classroom 15</t>
  </si>
  <si>
    <t>Classroom 16</t>
  </si>
  <si>
    <t>Classroom 17</t>
  </si>
  <si>
    <t>Classroom 18</t>
  </si>
  <si>
    <t>Classroom 19</t>
  </si>
  <si>
    <t>Classroom 20</t>
  </si>
  <si>
    <t>Classroom 21</t>
  </si>
  <si>
    <t>Classroom 22</t>
  </si>
  <si>
    <t>Classroom 23</t>
  </si>
  <si>
    <t>Classroom 24</t>
  </si>
  <si>
    <t>Classroom 25</t>
  </si>
  <si>
    <t>Classroom 26</t>
  </si>
  <si>
    <t>Classroom 27</t>
  </si>
  <si>
    <t>Classroom 28</t>
  </si>
  <si>
    <t>Classroom 29</t>
  </si>
  <si>
    <t>Classroom 30</t>
  </si>
  <si>
    <t>Classroom 31</t>
  </si>
  <si>
    <t>Classroom 32</t>
  </si>
  <si>
    <t>Classroom 33</t>
  </si>
  <si>
    <t>Classroom 34</t>
  </si>
  <si>
    <t>Classroom Environment</t>
  </si>
  <si>
    <t>Learning Expectations</t>
  </si>
  <si>
    <t>Student Thinking, Problem Solving, Voice</t>
  </si>
  <si>
    <t>Engaging Students in Learning</t>
  </si>
  <si>
    <t>Assessment in Instruction</t>
  </si>
  <si>
    <t>Flexibility and Responsiveness</t>
  </si>
  <si>
    <t>Integrity of Core Curriculum</t>
  </si>
  <si>
    <t>Indicators Average Score</t>
  </si>
  <si>
    <t>% of Indicators Observed</t>
  </si>
  <si>
    <t>Culturally 
Relevant</t>
  </si>
  <si>
    <t>Culturally Relevant Curriculum 
(#of Indicators= 0-5)</t>
  </si>
  <si>
    <t>CR Pedagogy, Critical Thinking 
(#of Indicators 0-4)</t>
  </si>
  <si>
    <t>Positive Learning Community 
(#of Indicators 0-2)</t>
  </si>
  <si>
    <t>Student Identity and Voice 
(#of Indicators 0-2)</t>
  </si>
  <si>
    <t>Positive Learning Community</t>
  </si>
  <si>
    <t>Student Identity and Voice</t>
  </si>
  <si>
    <t>Language Acquisition</t>
  </si>
  <si>
    <t>English Language Development (ELD) Instruction = 0-4)</t>
  </si>
  <si>
    <t>Cultural Responsiveness  
(#of Indicators 0-2)</t>
  </si>
  <si>
    <t>Student Grouping, Language Use  
(#of Indicators 0-2)</t>
  </si>
  <si>
    <t>English Language Development</t>
  </si>
  <si>
    <t>Cultural Responsiveness</t>
  </si>
  <si>
    <t>Student Grouping, Language Use</t>
  </si>
  <si>
    <t>Career &amp; Tech Education</t>
  </si>
  <si>
    <t>Classroom Instruction
(#of Indicators= 0-3)</t>
  </si>
  <si>
    <t>Lab Instruction  
(#of Indicators 0-3)</t>
  </si>
  <si>
    <t>Classroom Instruction</t>
  </si>
  <si>
    <t>Lab Instruction</t>
  </si>
  <si>
    <t>Exceptional Education</t>
  </si>
  <si>
    <t>Classroom Instruction
(#of Indicators= 0-2)</t>
  </si>
  <si>
    <t>Magnet</t>
  </si>
  <si>
    <t>Instructional Focus
(#of Indicators= 0-5)</t>
  </si>
  <si>
    <t>Magnet Specific 
(#of Indicators 0-3)</t>
  </si>
  <si>
    <t>Community Engagement
(#of Indicators 0-2)</t>
  </si>
  <si>
    <t>Instructional Focus</t>
  </si>
  <si>
    <t>Community Engagement</t>
  </si>
  <si>
    <t>Two-Way Dual Language</t>
  </si>
  <si>
    <t>Language Development
(#of Indicators= 0-5)</t>
  </si>
  <si>
    <t>Cultural Competence  
(#of Indicators 0-4)</t>
  </si>
  <si>
    <t>Language Development</t>
  </si>
  <si>
    <t>Cultural Competence</t>
  </si>
  <si>
    <t>District Walkthrough - Report</t>
  </si>
  <si>
    <t>CORE CATEGORIES - TEAM SUMMARY</t>
  </si>
  <si>
    <t xml:space="preserve">PRAISE </t>
  </si>
  <si>
    <t>PROBE &amp; PUSH</t>
  </si>
  <si>
    <t>PRINCIPAL REFLECTION &amp; NEXT STEPS</t>
  </si>
  <si>
    <t>CULTURALLY RESPONSIVE INSTRUCTION - TEAM SUMMARY</t>
  </si>
  <si>
    <t>Culturally Relevant Curriculum</t>
  </si>
  <si>
    <t>CR Pedagogy &amp; Critical Thinking</t>
  </si>
  <si>
    <t xml:space="preserve">
*
*
* </t>
  </si>
  <si>
    <t>DEPARTMENT NARRATIVE</t>
  </si>
  <si>
    <t xml:space="preserve">
* 
* 
*</t>
  </si>
  <si>
    <t>LANGUAGE ACQUISITION - TEAM SUMMARY</t>
  </si>
  <si>
    <t>English Language Development Instruction</t>
  </si>
  <si>
    <t>Student Grouping and Language Use</t>
  </si>
  <si>
    <t xml:space="preserve">
* 
* 
* 
</t>
  </si>
  <si>
    <t xml:space="preserve">
* 
* 
* </t>
  </si>
  <si>
    <t>CAREER &amp; TECHNICAL EDUCATION - TEAM SUMMARY</t>
  </si>
  <si>
    <t xml:space="preserve">
* 
* 
*          </t>
  </si>
  <si>
    <t>EXCEPTIONAL EDUCATION - TEAM SUMMARY</t>
  </si>
  <si>
    <t>MAGNET - TEAM SUMMARY</t>
  </si>
  <si>
    <t>Student Involvement - Magnet Specific</t>
  </si>
  <si>
    <t>TWO WAY DUAL LANGUAGE - TEAM SUMMARY</t>
  </si>
  <si>
    <t xml:space="preserve">
* 
* 
*
</t>
  </si>
  <si>
    <t>INTEGRATED ACTION PLAN</t>
  </si>
  <si>
    <t xml:space="preserve">Math Goal:
</t>
  </si>
  <si>
    <t xml:space="preserve">Action Step (Instructional Practices): 
</t>
  </si>
  <si>
    <t xml:space="preserve">Progress: 
</t>
  </si>
  <si>
    <t xml:space="preserve">ELA Goal:
</t>
  </si>
  <si>
    <t xml:space="preserve">Progress: 
</t>
  </si>
  <si>
    <t xml:space="preserve">Additional Goal:
</t>
  </si>
  <si>
    <t xml:space="preserve">Action Step: 
</t>
  </si>
  <si>
    <t xml:space="preserve">Progress: 
</t>
  </si>
  <si>
    <t>TRIPLE CROWN - SCHOOL SUMMARY</t>
  </si>
  <si>
    <t>High Quality Instruction</t>
  </si>
  <si>
    <r>
      <rPr>
        <b/>
        <sz val="12"/>
        <color rgb="FFFF0000"/>
        <rFont val="Calibri"/>
        <family val="2"/>
        <scheme val="minor"/>
      </rPr>
      <t xml:space="preserve">1.  What are some current instructional focus areas for your school?
</t>
    </r>
    <r>
      <rPr>
        <b/>
        <sz val="12"/>
        <color rgb="FFC0504D"/>
        <rFont val="Calibri"/>
        <family val="2"/>
        <scheme val="minor"/>
      </rPr>
      <t xml:space="preserve">
</t>
    </r>
    <r>
      <rPr>
        <b/>
        <sz val="12"/>
        <color rgb="FFFF0000"/>
        <rFont val="Calibri"/>
        <family val="2"/>
        <scheme val="minor"/>
      </rPr>
      <t xml:space="preserve">2. What are your expectations for teachers using Learning Targets &amp; Success Criteria? 
</t>
    </r>
    <r>
      <rPr>
        <b/>
        <sz val="12"/>
        <color rgb="FFC0504D"/>
        <rFont val="Calibri"/>
        <family val="2"/>
        <scheme val="minor"/>
      </rPr>
      <t xml:space="preserve">
</t>
    </r>
    <r>
      <rPr>
        <b/>
        <sz val="12"/>
        <color rgb="FFFF0000"/>
        <rFont val="Calibri"/>
        <family val="2"/>
        <scheme val="minor"/>
      </rPr>
      <t xml:space="preserve">3.  Identify 1 area strength and 1 area of growth related to Student Engagement at your school.
</t>
    </r>
    <r>
      <rPr>
        <b/>
        <sz val="12"/>
        <color rgb="FFC0504D"/>
        <rFont val="Calibri"/>
        <family val="2"/>
        <scheme val="minor"/>
      </rPr>
      <t xml:space="preserve">
</t>
    </r>
  </si>
  <si>
    <t xml:space="preserve">Professional Learning Communities </t>
  </si>
  <si>
    <r>
      <rPr>
        <b/>
        <sz val="12"/>
        <color rgb="FFFF0000"/>
        <rFont val="Calibri"/>
        <family val="2"/>
        <scheme val="minor"/>
      </rPr>
      <t>1 - Outline how your PLC is designed (schedule, how they are grouped, who leads, how it works).</t>
    </r>
    <r>
      <rPr>
        <b/>
        <sz val="12"/>
        <color rgb="FFC0504D"/>
        <rFont val="Calibri"/>
        <family val="2"/>
        <scheme val="minor"/>
      </rPr>
      <t xml:space="preserve">
</t>
    </r>
    <r>
      <rPr>
        <sz val="12"/>
        <color rgb="FF000000"/>
        <rFont val="Calibri"/>
        <family val="2"/>
        <scheme val="minor"/>
      </rPr>
      <t xml:space="preserve">
</t>
    </r>
    <r>
      <rPr>
        <b/>
        <sz val="12"/>
        <color rgb="FFFF0000"/>
        <rFont val="Calibri"/>
        <family val="2"/>
        <scheme val="minor"/>
      </rPr>
      <t>2 - Discuss the current focus areas or goals that your PLC groups addresses (unwrapping of standards, review of data, instructional strategies).</t>
    </r>
    <r>
      <rPr>
        <b/>
        <sz val="12"/>
        <color rgb="FFC0504D"/>
        <rFont val="Calibri"/>
        <family val="2"/>
        <scheme val="minor"/>
      </rPr>
      <t xml:space="preserve">
</t>
    </r>
    <r>
      <rPr>
        <sz val="12"/>
        <color rgb="FF000000"/>
        <rFont val="Calibri"/>
        <family val="2"/>
        <scheme val="minor"/>
      </rPr>
      <t xml:space="preserve">
</t>
    </r>
    <r>
      <rPr>
        <b/>
        <sz val="12"/>
        <color rgb="FFFF0000"/>
        <rFont val="Calibri"/>
        <family val="2"/>
        <scheme val="minor"/>
      </rPr>
      <t xml:space="preserve">3 - Identify 1 area of strength and 1 area of growth related to PLCs at your school.
</t>
    </r>
  </si>
  <si>
    <t>Guaranteed &amp; Viable Curriculum</t>
  </si>
  <si>
    <r>
      <rPr>
        <sz val="12"/>
        <color rgb="FF000000"/>
        <rFont val="Calibri"/>
        <family val="2"/>
        <scheme val="minor"/>
      </rPr>
      <t xml:space="preserve">
</t>
    </r>
    <r>
      <rPr>
        <b/>
        <sz val="12"/>
        <color rgb="FFFF0000"/>
        <rFont val="Calibri"/>
        <family val="2"/>
        <scheme val="minor"/>
      </rPr>
      <t xml:space="preserve">1 - What are your expectations for teachers using district approved curriculum and platforms.
</t>
    </r>
    <r>
      <rPr>
        <b/>
        <sz val="12"/>
        <color rgb="FFC0504D"/>
        <rFont val="Calibri"/>
        <family val="2"/>
        <scheme val="minor"/>
      </rPr>
      <t xml:space="preserve">
</t>
    </r>
    <r>
      <rPr>
        <b/>
        <sz val="12"/>
        <color rgb="FFFF0000"/>
        <rFont val="Calibri"/>
        <family val="2"/>
        <scheme val="minor"/>
      </rPr>
      <t xml:space="preserve">
2 - Outline your school's understanding of Essential Standards and analysis (unpacking) of standards?  How often is this work done?
</t>
    </r>
    <r>
      <rPr>
        <b/>
        <sz val="12"/>
        <color rgb="FFC0504D"/>
        <rFont val="Calibri"/>
        <family val="2"/>
        <scheme val="minor"/>
      </rPr>
      <t xml:space="preserve">
</t>
    </r>
    <r>
      <rPr>
        <b/>
        <sz val="12"/>
        <color rgb="FFFF0000"/>
        <rFont val="Calibri"/>
        <family val="2"/>
        <scheme val="minor"/>
      </rPr>
      <t xml:space="preserve">3 - Identify 1 area of strength and 1 area of growth related to Guaranteed &amp; Viable Curriculum at your school. 
</t>
    </r>
    <r>
      <rPr>
        <b/>
        <sz val="12"/>
        <color rgb="FFC0504D"/>
        <rFont val="Calibri"/>
        <family val="2"/>
        <scheme val="minor"/>
      </rPr>
      <t xml:space="preserve">
</t>
    </r>
  </si>
  <si>
    <t>District Support</t>
  </si>
  <si>
    <r>
      <rPr>
        <b/>
        <sz val="12"/>
        <color rgb="FFFF0000"/>
        <rFont val="Calibri"/>
        <family val="2"/>
        <scheme val="minor"/>
      </rPr>
      <t>What specific support can the District provide you?</t>
    </r>
    <r>
      <rPr>
        <b/>
        <sz val="12"/>
        <color rgb="FF000000"/>
        <rFont val="Calibri"/>
        <family val="2"/>
        <scheme val="minor"/>
      </rPr>
      <t xml:space="preserve">
 </t>
    </r>
    <r>
      <rPr>
        <b/>
        <sz val="12"/>
        <color rgb="FFFF0000"/>
        <rFont val="Calibri"/>
        <family val="2"/>
        <scheme val="minor"/>
      </rPr>
      <t xml:space="preserve">    Curriculum &amp; Instruction:</t>
    </r>
    <r>
      <rPr>
        <b/>
        <sz val="12"/>
        <rFont val="Calibri"/>
        <family val="2"/>
        <scheme val="minor"/>
      </rPr>
      <t xml:space="preserve">   </t>
    </r>
    <r>
      <rPr>
        <b/>
        <sz val="12"/>
        <color rgb="FFFF0000"/>
        <rFont val="Calibri"/>
        <family val="2"/>
        <scheme val="minor"/>
      </rPr>
      <t xml:space="preserve">
</t>
    </r>
    <r>
      <rPr>
        <b/>
        <sz val="12"/>
        <color rgb="FF000000"/>
        <rFont val="Calibri"/>
        <family val="2"/>
        <scheme val="minor"/>
      </rPr>
      <t xml:space="preserve">
    </t>
    </r>
    <r>
      <rPr>
        <b/>
        <sz val="12"/>
        <color rgb="FFFF0000"/>
        <rFont val="Calibri"/>
        <family val="2"/>
        <scheme val="minor"/>
      </rPr>
      <t xml:space="preserve"> Human Resources:</t>
    </r>
    <r>
      <rPr>
        <b/>
        <sz val="12"/>
        <rFont val="Calibri"/>
        <family val="2"/>
        <scheme val="minor"/>
      </rPr>
      <t xml:space="preserve">   </t>
    </r>
    <r>
      <rPr>
        <b/>
        <sz val="12"/>
        <color rgb="FF000000"/>
        <rFont val="Calibri"/>
        <family val="2"/>
        <scheme val="minor"/>
      </rPr>
      <t xml:space="preserve">
     </t>
    </r>
    <r>
      <rPr>
        <b/>
        <sz val="12"/>
        <color rgb="FFFF0000"/>
        <rFont val="Calibri"/>
        <family val="2"/>
        <scheme val="minor"/>
      </rPr>
      <t>Finance (Title I, Magnet):</t>
    </r>
    <r>
      <rPr>
        <b/>
        <sz val="12"/>
        <rFont val="Calibri"/>
        <family val="2"/>
        <scheme val="minor"/>
      </rPr>
      <t xml:space="preserve">   </t>
    </r>
    <r>
      <rPr>
        <b/>
        <sz val="12"/>
        <color rgb="FF000000"/>
        <rFont val="Calibri"/>
        <family val="2"/>
        <scheme val="minor"/>
      </rPr>
      <t xml:space="preserve">
</t>
    </r>
    <r>
      <rPr>
        <b/>
        <sz val="12"/>
        <color rgb="FFFF0000"/>
        <rFont val="Calibri"/>
        <family val="2"/>
        <scheme val="minor"/>
      </rPr>
      <t xml:space="preserve">     Language Acquisition:</t>
    </r>
    <r>
      <rPr>
        <b/>
        <sz val="12"/>
        <color rgb="FF000000"/>
        <rFont val="Calibri"/>
        <family val="2"/>
        <scheme val="minor"/>
      </rPr>
      <t xml:space="preserve">     
</t>
    </r>
    <r>
      <rPr>
        <b/>
        <sz val="12"/>
        <color rgb="FFFF0000"/>
        <rFont val="Calibri"/>
        <family val="2"/>
        <scheme val="minor"/>
      </rPr>
      <t xml:space="preserve">     Exceptional Education:</t>
    </r>
    <r>
      <rPr>
        <b/>
        <sz val="12"/>
        <color rgb="FF000000"/>
        <rFont val="Calibri"/>
        <family val="2"/>
        <scheme val="minor"/>
      </rPr>
      <t xml:space="preserve">     
</t>
    </r>
    <r>
      <rPr>
        <b/>
        <sz val="12"/>
        <color rgb="FFC0504D"/>
        <rFont val="Calibri"/>
        <family val="2"/>
        <scheme val="minor"/>
      </rPr>
      <t xml:space="preserve">
   </t>
    </r>
    <r>
      <rPr>
        <b/>
        <sz val="12"/>
        <color rgb="FFFF0000"/>
        <rFont val="Calibri"/>
        <family val="2"/>
        <scheme val="minor"/>
      </rPr>
      <t xml:space="preserve">  Other Departments (MASS, NASS, AASS, School Improvement, A&amp;E):</t>
    </r>
    <r>
      <rPr>
        <b/>
        <sz val="12"/>
        <rFont val="Calibri"/>
        <family val="2"/>
        <scheme val="minor"/>
      </rPr>
      <t xml:space="preserve">   </t>
    </r>
    <r>
      <rPr>
        <b/>
        <sz val="12"/>
        <color rgb="FFFF0000"/>
        <rFont val="Calibri"/>
        <family val="2"/>
        <scheme val="minor"/>
      </rPr>
      <t xml:space="preserve">
</t>
    </r>
  </si>
  <si>
    <t xml:space="preserve">CR Pedagogy, Critical Thinking </t>
  </si>
  <si>
    <t>Magnet Specific</t>
  </si>
  <si>
    <t>School:</t>
  </si>
  <si>
    <t>Spring Semester Walkthrough</t>
  </si>
  <si>
    <t>Date:</t>
  </si>
  <si>
    <t>Total Percent Earned</t>
  </si>
  <si>
    <t>Difference</t>
  </si>
  <si>
    <t>Spring</t>
  </si>
  <si>
    <t>Fall</t>
  </si>
  <si>
    <t>Engaging Students in Learning 
(# of Indicators = 0-6)</t>
  </si>
  <si>
    <t>Fall Semester Walkthrough</t>
  </si>
  <si>
    <t>Alice Vail</t>
  </si>
  <si>
    <t>Tawnee Arrieta</t>
  </si>
  <si>
    <t>*Learning Targets and Success criteria. Student engagement. Great rapport between teachers and students. Peer to peer interactions</t>
  </si>
  <si>
    <t xml:space="preserve">*Student friendly language in learning targets and success criteria. Enaggement in small group instructions. Attentiveness to all students. Repeated instructions that needed one on one checks. Very inclusive settings. </t>
  </si>
  <si>
    <t xml:space="preserve">*Excellent collaborative study groups. Classroom management strategies and very positive tone and respect with students. Classroom routines and procedures on point. Very positive learning environments and teacher clarity strategies. Fidelity to curriculum across the board. </t>
  </si>
  <si>
    <t xml:space="preserve">* Possibly using sentence frames to get to higher levels of DOK in conversations. Have students read and annotate their texts. </t>
  </si>
  <si>
    <t xml:space="preserve">*How can students learn to praise one another in the same way that staff does? Have students be able to answer the "why". How could teachers address metacognition? Improving sytructures and procedures -- timer could be helpful in this.  </t>
  </si>
  <si>
    <t xml:space="preserve">*More circulating the classeoom instead of staying in one part of the classroom. More opportunities for student choice. Suggestion to make sure each student in the group has an assigned role. Reflecting on success criteria throughout lesson. </t>
  </si>
  <si>
    <r>
      <rPr>
        <b/>
        <sz val="12"/>
        <color theme="1"/>
        <rFont val="Calibri"/>
        <family val="2"/>
        <scheme val="minor"/>
      </rPr>
      <t>Principal Highlights</t>
    </r>
    <r>
      <rPr>
        <sz val="12"/>
        <color theme="1"/>
        <rFont val="Calibri"/>
        <family val="2"/>
        <scheme val="minor"/>
      </rPr>
      <t xml:space="preserve">
First year implementing the teaming model—starting slowly to ensure everything is done with care, and the team has already shown strong collaboration. Teachers have been given the gift of time to collaborate, which has supported shared planning and consistency. Long-term goal is to transition into a full 7th–8th grade teaming school, providing a powerful way to guide students through the middle school process and prepare them for high school. Parent involvement has been a highlight, with families actively engaged and supportive.
Hosting PLCs in the conference room with all teachers has allowed for shared resources and data, keeping information organized and accessible for accountability and instructional planning.
</t>
    </r>
    <r>
      <rPr>
        <b/>
        <sz val="12"/>
        <color theme="1"/>
        <rFont val="Calibri"/>
        <family val="2"/>
        <scheme val="minor"/>
      </rPr>
      <t xml:space="preserve">Principal Reflection
</t>
    </r>
    <r>
      <rPr>
        <sz val="12"/>
        <color theme="1"/>
        <rFont val="Calibri"/>
        <family val="2"/>
        <scheme val="minor"/>
      </rPr>
      <t>Expressed pride in seeing teacher training translate into strong classroom practice. Teachers’ hard work is evident, and collaboration among peers has been a key factor in this success. Positive praise and thoughtful questioning have proven to be valuable strategies, helping sustain a supportive learning culture. Additionally, the new PLC structure has enhanced collaboration, making it easier to track progress and maintain a consistent focus on student outcomes.</t>
    </r>
  </si>
  <si>
    <t>Lesson pacing was appropriate, and English Learners were clearly identified within content classes.
Consistent use of the Get Ready! curriculum supported instruction.
Opportunities for student agency and choice were evident.</t>
  </si>
  <si>
    <t xml:space="preserve">Post ELD standards alongside content standards and provide consistent linguistic supports to ensure English Learners can fully access instruction.
Use intentional grouping strategies that promote both language development and content learning.
Leverage students’ home languages through visuals, graphic organizers, and opportunities to write or brainstorm in their first language. </t>
  </si>
  <si>
    <t>During the visit, classrooms observed were  Science and ELD. In two of the three classrooms, learning targets and success criteria were clearly posted, providing evidence of teacher clarity and alignment to objectives. Across classrooms, student-centered approaches and fidelity to the adopted curriculum were evident, and students were engaged in group learning opportunities. Tier 1 instructional strategies were observed; however, instruction could be further enhanced by incorporating more strategies such as turn-and-talk or think-pair-share to increase student interaction and academic discourse.
Notable strengths included appropriate lesson pacing and intentional identification of English Learners within content classes. The use of the Get Ready! curriculum supported structured lessons and access to grade-level content.
Recommendations include posting ELD standards alongside general content standards to ensure targeted support for English Learners. Teachers are encouraged to remain mindful of who their EL students are and to provide consistent linguistic supports throughout instruction. Grouping strategies should be considered carefully to ensure that students are placed in ways that promote both language and content development. Finally, there are opportunities to more intentionally leverage students’ home languages—for example, through the use of graphic organizers with visuals and by allowing students to write or brainstorm in their home language as a bridge to English learning.</t>
  </si>
  <si>
    <t xml:space="preserve">
Consistent use of learning targets and success criteria across classrooms.
High levels of student engagement observed in both inclusion and social studies settings.
Strong modeling of positive reinforcement by staff, fostering a supportive classroom environment.</t>
  </si>
  <si>
    <t>Expand opportunities for student voice, encouraging students not only to participate but also to provide feedback, share ideas, and support one another with peer-to-peer praise.
Model and explicitly teach metacognitive strategies so students can begin to explain how they learn and why strategies are effective, building independence as thinkers.
Strengthen classroom structures and routines—such as using timers or clear procedural cues—to improve pacing, transitions, and student accountability.</t>
  </si>
  <si>
    <t>During the observation of two inclusion classes and one social studies class, there was clear evidence of consistent learning targets, success criteria, and high levels of student engagement. Teachers provided strong models of positive reinforcement, consistently praising students and fostering a supportive learning environment.
An opportunity for growth is to extend this practice by teaching students how to praise and encourage one another in the same way staff members do, building a culture of peer-to-peer support. In addition, while students were able to demonstrate what they were learning, there is room to deepen their ability to articulate the why—helping them develop stronger metacognitive skills and ownership of their learning. Finally, refining classroom structures and procedures could further enhance effectiveness; for example, using a timer could support pacing, transitions, and student accountability.</t>
  </si>
  <si>
    <t>Math Goal:
Increase overall math achievement by 5% at Alice Vail Middle School by the end of the 2025 AASA testing period.</t>
  </si>
  <si>
    <t xml:space="preserve">Action Step (Instructional Practices):
Alice Vail will achieve a targeted improvement in Math by the end of the 2025 AASA testing period.
Key strategies include the use of iReady, IXL, and Benchmark assessments, along with weekly School City CFAs in Math and ELA.
Students will monitor their progress, set individual goals, and celebrate growth.
Teachers will align instruction with quarterly benchmarks and focus on coaching students on question types using resources from CSP.
</t>
  </si>
  <si>
    <t>Progress:
Teachers are implementing key strategies, including iReady, IXL, and Benchmark assessments, to provide differentiated instruction and ongoing skill reinforcement. Weekly School City CFAs in Math and ELA are helping monitor student growth and guide instructional adjustments. Students are actively tracking their own progress, setting individual goals, and celebrating achievements, which is fostering ownership of learning. Additionally, teachers are aligning instruction with quarterly benchmarks and providing targeted coaching on specific question types using resources from CSP, ensuring that instruction is focused, intentional, and data-driven.</t>
  </si>
  <si>
    <t>ELA Goal:
Increase overall ELA achievement by 5% at Alice Vail Middle School by the end of the 2025 AASA testing period.</t>
  </si>
  <si>
    <t>Action Step (Instructional Practices):
Alice Vail will achieve a targeted improvement in ELA by the end of the 2025 AASA testing period. Key strategies include the use of iReady, IXL, and Benchmark assessments, along with weekly School City CFAs in Math and ELA. Students will monitor their progress, set individual goals, and celebrate growth. Teachers will align instruction with quarterly benchmarks and focus on coaching students on question types using resources from CSP.</t>
  </si>
  <si>
    <t>Progress:
Alice Vail is making steady progress toward the targeted improvement in ELA for the 2025 AASA testing period. Teachers are using iReady, IXL, and Benchmark assessments to guide instruction and differentiate support for students. Weekly School City CFAs in Math and ELA provide timely data to monitor growth and inform instructional adjustments. Students are actively tracking their progress, setting individual goals, and celebrating achievements, which promotes ownership of their learning. Instruction is aligned with quarterly benchmarks, and teachers are providing targeted coaching on question types using CSP resources to ensure focused, strategic support for student success.</t>
  </si>
  <si>
    <t xml:space="preserve">Additional Goal:By the end of the school year, staff will finalize a plan to support high academic and behavioral expectations for all students, aiming for a reduction in referrals and an increase in academic achievement on benchmark assessments.
</t>
  </si>
  <si>
    <t>Action Step:
The Data Review Team will focus on behavioral trends and strategically plan supports to improve school culture and climate, including SSS.
Title funds will be used to support SSS.</t>
  </si>
  <si>
    <t>Progress:
Data literacy has been a major focus at the school, enabling staff to make informed decisions, track progress, and adjust interventions in a timely and effective manner. These efforts are fostering a more positive, structured, and academically focused environment for all students.</t>
  </si>
  <si>
    <r>
      <rPr>
        <b/>
        <sz val="12"/>
        <color rgb="FFFF0000"/>
        <rFont val="Calibri"/>
        <family val="2"/>
        <scheme val="minor"/>
      </rPr>
      <t xml:space="preserve">1. What are some current instructional focus areas for your school?
</t>
    </r>
    <r>
      <rPr>
        <b/>
        <sz val="12"/>
        <color theme="1"/>
        <rFont val="Calibri"/>
        <family val="2"/>
        <scheme val="minor"/>
      </rPr>
      <t xml:space="preserve">Current instructional focus areas include incorporating common formative assessments (CFAs) in ELA and Science, with a goal to expand this practice school-wide. The school is implementing a variety of strategies to support student learning, including project-based learning, the NSGX model, team-based models, guided reading, intentional grouping, differentiated instruction, and effective use of teaching assistants. Core enrichment is going very well, leveraging teacher strengths to positively impact student outcomes. Sixth grade classrooms are integrating AVID strategies, and the arts department is collaborating across all middle schools, with high school students tutoring middle schoolers on Thursdays. Additional initiatives include Future Falcon Night in January, support from a restorative practices facilitator, a strong partnership with ASPIRE, and active parent engagement through the PTSA. Student well-being is also a priority, as evidenced by 100% student participation in a recent vape prevention presentation.
</t>
    </r>
    <r>
      <rPr>
        <b/>
        <sz val="12"/>
        <color rgb="FFFF0000"/>
        <rFont val="Calibri"/>
        <family val="2"/>
        <scheme val="minor"/>
      </rPr>
      <t xml:space="preserve">
2. What are your expectations for teachers using Learning Targets &amp; Success Criteria?
</t>
    </r>
    <r>
      <rPr>
        <b/>
        <sz val="12"/>
        <color theme="1"/>
        <rFont val="Calibri"/>
        <family val="2"/>
        <scheme val="minor"/>
      </rPr>
      <t>All teachers are expected to have learning targets and success criteria posted consistently. This ensures clarity for students, supports instructional alignment, and promotes student ownership of learning.</t>
    </r>
    <r>
      <rPr>
        <b/>
        <sz val="12"/>
        <color rgb="FFFF0000"/>
        <rFont val="Calibri"/>
        <family val="2"/>
        <scheme val="minor"/>
      </rPr>
      <t xml:space="preserve">
3. Identify 1 area of strength and 1 area of growth related to Student Engagement at your school.
</t>
    </r>
    <r>
      <rPr>
        <b/>
        <sz val="12"/>
        <color theme="1"/>
        <rFont val="Calibri"/>
        <family val="2"/>
        <scheme val="minor"/>
      </rPr>
      <t>Strength: High levels of student engagement are evident across classrooms, with students actively participating in learning activities.
Growth: Continue to increase engagement in all classes by modeling expectations, providing examples, and being actively present to guide students.</t>
    </r>
  </si>
  <si>
    <r>
      <rPr>
        <b/>
        <sz val="12"/>
        <color rgb="FFFF0000"/>
        <rFont val="Calibri"/>
        <family val="2"/>
        <scheme val="minor"/>
      </rPr>
      <t xml:space="preserve">
1. What are your expectations for teachers using district approved curriculum and platforms?
</t>
    </r>
    <r>
      <rPr>
        <b/>
        <sz val="12"/>
        <color theme="1"/>
        <rFont val="Calibri"/>
        <family val="2"/>
        <scheme val="minor"/>
      </rPr>
      <t>All district-approved curricula and instructional platforms are expected to be used with fidelity, ensuring consistency in instruction and alignment to district standards across all classrooms.</t>
    </r>
    <r>
      <rPr>
        <b/>
        <sz val="12"/>
        <color rgb="FFFF0000"/>
        <rFont val="Calibri"/>
        <family val="2"/>
        <scheme val="minor"/>
      </rPr>
      <t xml:space="preserve">
2. Outline your school's understanding of Essential Standards and analysis (unpacking) of standards. How often is this work done?
</t>
    </r>
    <r>
      <rPr>
        <b/>
        <sz val="12"/>
        <color theme="1"/>
        <rFont val="Calibri"/>
        <family val="2"/>
        <scheme val="minor"/>
      </rPr>
      <t xml:space="preserve">The school regularly engages in the analysis and “unpacking” of Essential Standards to ensure clear understanding of learning objectives and expectations. This work is ongoing and occurs through PLCs, team meetings, and planning sessions, allowing teachers to align instruction and assessments effectively.
</t>
    </r>
    <r>
      <rPr>
        <b/>
        <sz val="12"/>
        <color rgb="FFFF0000"/>
        <rFont val="Calibri"/>
        <family val="2"/>
        <scheme val="minor"/>
      </rPr>
      <t xml:space="preserve">
3. Identify 1 area of strength and 1 area of growth related to Guaranteed &amp; Viable Curriculum at your school.
</t>
    </r>
    <r>
      <rPr>
        <b/>
        <sz val="12"/>
        <color theme="1"/>
        <rFont val="Calibri"/>
        <family val="2"/>
        <scheme val="minor"/>
      </rPr>
      <t xml:space="preserve">
Strength: Teachers consistently adhere to the district-approved curriculum, ensuring that instruction is aligned with Essential Standards.
Growth: Encourage students to actively refer to curriculum resources and use them to drive instruction, promoting greater student ownership and engagement with learning objectives.</t>
    </r>
  </si>
  <si>
    <r>
      <rPr>
        <b/>
        <sz val="12"/>
        <color rgb="FFFF0000"/>
        <rFont val="Calibri"/>
        <family val="2"/>
        <scheme val="minor"/>
      </rPr>
      <t>1. Outline how your PLC is designed (schedule, how they are grouped, who leads, how it works).</t>
    </r>
    <r>
      <rPr>
        <b/>
        <sz val="12"/>
        <color theme="1"/>
        <rFont val="Calibri"/>
        <family val="2"/>
        <scheme val="minor"/>
      </rPr>
      <t xml:space="preserve">
PLCs are held every Thursday and Friday, with all administration collaborating with the CSP team to dive deeply into data. Common formative assessments (CFAs) are a major focus, and consistent practices have made PLCs highly effective. The ADE has been invited to share best practices with the Math team, emphasizing a strong data literacy focus. PLCs establish group goals based on student data, and four staff members will present at the next PLD. Sixth grade is implementing a teaming model, with ongoing planning and collaboration between teachers. Monthly training is provided by a leading education trainer from ASU, who also conducts walkthroughs and works directly with teachers. Additionally, Project Momentum is supporting staff through training initiatives.
</t>
    </r>
    <r>
      <rPr>
        <b/>
        <sz val="12"/>
        <color rgb="FFFF0000"/>
        <rFont val="Calibri"/>
        <family val="2"/>
        <scheme val="minor"/>
      </rPr>
      <t>2. Discuss the current focus areas or goals that your PLC groups address (unwrapping of standards, review of data, instructional strategies).</t>
    </r>
    <r>
      <rPr>
        <b/>
        <sz val="12"/>
        <color theme="1"/>
        <rFont val="Calibri"/>
        <family val="2"/>
        <scheme val="minor"/>
      </rPr>
      <t xml:space="preserve">
PLC groups are focused on analyzing and unwrapping standards, reviewing both academic and student-specific data, and planning instructional strategies accordingly. The use of common formative assessments helps guide instructional decisions, set measurable goals, and ensure alignment across classrooms.
</t>
    </r>
    <r>
      <rPr>
        <b/>
        <sz val="12"/>
        <color rgb="FFFF0000"/>
        <rFont val="Calibri"/>
        <family val="2"/>
        <scheme val="minor"/>
      </rPr>
      <t>3. Identify 1 area of strength and 1 area of growth related to PLCs at your school.</t>
    </r>
    <r>
      <rPr>
        <b/>
        <sz val="12"/>
        <color theme="1"/>
        <rFont val="Calibri"/>
        <family val="2"/>
        <scheme val="minor"/>
      </rPr>
      <t xml:space="preserve">
Strength: PLCs are highly effective in using data to plan instruction, going deeply into student-specific data. Accountability has become a consistent part of the culture, including student-level accountability.
Growth: Continue to build consistency and foster a culture of data literacy, encouraging ongoing self-analysis to further refine instruction and student support.</t>
    </r>
  </si>
  <si>
    <t>Joshua Peebles</t>
  </si>
  <si>
    <t>Sonia Arvayo</t>
  </si>
  <si>
    <t>Heather Patty</t>
  </si>
  <si>
    <t>Kit Giuffre</t>
  </si>
  <si>
    <t>Shayla Samuels</t>
  </si>
  <si>
    <t>Ben Kowalski</t>
  </si>
  <si>
    <t>Melissa Hershey</t>
  </si>
  <si>
    <t>Brian Moreno</t>
  </si>
  <si>
    <t>Amber Clark</t>
  </si>
  <si>
    <t>Hillary Lotz</t>
  </si>
  <si>
    <t xml:space="preserve">Shawna Rodriguez </t>
  </si>
  <si>
    <t xml:space="preserve">*Active participation and student centered engagement. Rubrics that were used consistently in all classes. </t>
  </si>
  <si>
    <t xml:space="preserve">*Can students be structured to allow for even more student to student discussion? Leverage curriculum so that it facilitates and fosters student to student collaboration. Adhere to AVID curriculum specifically. </t>
  </si>
  <si>
    <t xml:space="preserve">*Structure, routines, and positive rapport between students and teachers. Use of stations in one class. </t>
  </si>
  <si>
    <t>*Posting learning targets and succcess criteria for stations. More emphasis on students leading discussion with math concepts. How can we make instruction more accessible for students? What other strategies can be used in terms of differentiation?</t>
  </si>
  <si>
    <t xml:space="preserve">*Classrooms set up for group learning with tables and chairs. Teachers have good rapport with students. </t>
  </si>
  <si>
    <t xml:space="preserve">*Leverage student to student moments that occur.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</si>
</sst>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b/>
      <sz val="11"/>
      <color theme="1"/>
      <name val="Calibri"/>
      <family val="2"/>
      <scheme val="minor"/>
    </font>
    <font>
      <b/>
      <sz val="14"/>
      <color theme="1"/>
      <name val="Calibri"/>
      <family val="2"/>
      <scheme val="minor"/>
    </font>
    <font>
      <sz val="14"/>
      <color theme="1"/>
      <name val="Calibri"/>
      <family val="2"/>
      <scheme val="minor"/>
    </font>
    <font>
      <sz val="11"/>
      <name val="Calibri"/>
      <family val="2"/>
      <scheme val="minor"/>
    </font>
    <font>
      <sz val="14"/>
      <name val="Calibri"/>
      <family val="2"/>
      <scheme val="minor"/>
    </font>
    <font>
      <sz val="12"/>
      <name val="Calibri"/>
      <family val="2"/>
      <scheme val="minor"/>
    </font>
    <font>
      <b/>
      <sz val="11"/>
      <color rgb="FF000000"/>
      <name val="Calibri"/>
      <family val="2"/>
      <scheme val="minor"/>
    </font>
    <font>
      <b/>
      <sz val="16"/>
      <color rgb="FF323130"/>
      <name val="Times New Roman"/>
      <family val="1"/>
    </font>
    <font>
      <sz val="11"/>
      <color rgb="FF000000"/>
      <name val="Calibri"/>
      <family val="2"/>
      <scheme val="minor"/>
    </font>
    <font>
      <b/>
      <sz val="16"/>
      <name val="Calibri"/>
      <family val="2"/>
      <scheme val="minor"/>
    </font>
    <font>
      <sz val="16"/>
      <name val="Calibri"/>
      <family val="2"/>
      <scheme val="minor"/>
    </font>
    <font>
      <b/>
      <sz val="12"/>
      <color theme="1"/>
      <name val="Calibri"/>
      <family val="2"/>
      <scheme val="minor"/>
    </font>
    <font>
      <sz val="12"/>
      <color theme="1"/>
      <name val="Calibri"/>
      <family val="2"/>
      <scheme val="minor"/>
    </font>
    <font>
      <b/>
      <sz val="20"/>
      <color theme="1"/>
      <name val="Calibri"/>
      <family val="2"/>
      <scheme val="minor"/>
    </font>
    <font>
      <sz val="14"/>
      <color rgb="FF000000"/>
      <name val="Calibri"/>
      <family val="2"/>
      <scheme val="minor"/>
    </font>
    <font>
      <b/>
      <sz val="14"/>
      <color rgb="FF000000"/>
      <name val="Calibri"/>
      <family val="2"/>
      <scheme val="minor"/>
    </font>
    <font>
      <sz val="12"/>
      <color theme="1"/>
      <name val="Aptos"/>
      <family val="2"/>
      <charset val="1"/>
    </font>
    <font>
      <b/>
      <u/>
      <sz val="12"/>
      <color theme="1"/>
      <name val="Aptos"/>
      <family val="2"/>
    </font>
    <font>
      <sz val="12"/>
      <color theme="1"/>
      <name val="Aptos"/>
      <family val="2"/>
    </font>
    <font>
      <sz val="11"/>
      <color theme="1"/>
      <name val="Aptos"/>
      <family val="2"/>
    </font>
    <font>
      <sz val="11"/>
      <color theme="1"/>
      <name val="Aptos"/>
      <family val="2"/>
      <charset val="1"/>
    </font>
    <font>
      <b/>
      <sz val="11"/>
      <color theme="1"/>
      <name val="Aptos"/>
      <family val="2"/>
      <charset val="1"/>
    </font>
    <font>
      <sz val="12"/>
      <color rgb="FF000000"/>
      <name val="Calibri"/>
      <family val="2"/>
      <scheme val="minor"/>
    </font>
    <font>
      <b/>
      <sz val="12"/>
      <color rgb="FFC0504D"/>
      <name val="Calibri"/>
      <family val="2"/>
      <scheme val="minor"/>
    </font>
    <font>
      <b/>
      <sz val="12"/>
      <color rgb="FF000000"/>
      <name val="Calibri"/>
      <family val="2"/>
      <scheme val="minor"/>
    </font>
    <font>
      <b/>
      <sz val="12"/>
      <color rgb="FFFF0000"/>
      <name val="Calibri"/>
      <family val="2"/>
      <scheme val="minor"/>
    </font>
    <font>
      <sz val="12"/>
      <color theme="1"/>
      <name val="Calibri"/>
      <family val="2"/>
      <scheme val="minor"/>
    </font>
    <font>
      <b/>
      <sz val="12"/>
      <name val="Calibri"/>
      <family val="2"/>
      <scheme val="minor"/>
    </font>
    <font>
      <b/>
      <sz val="11"/>
      <color rgb="FF000000"/>
      <name val="Calibri"/>
      <family val="2"/>
      <scheme val="minor"/>
    </font>
    <font>
      <b/>
      <sz val="11"/>
      <color rgb="FF000000"/>
      <name val="Aptos"/>
      <family val="2"/>
    </font>
    <font>
      <sz val="11"/>
      <color rgb="FF000000"/>
      <name val="Aptos"/>
      <family val="2"/>
    </font>
    <font>
      <b/>
      <sz val="14"/>
      <name val="Calibri"/>
      <family val="2"/>
      <scheme val="minor"/>
    </font>
    <font>
      <sz val="11"/>
      <color theme="1"/>
      <name val="Calibri"/>
      <family val="2"/>
      <scheme val="minor"/>
    </font>
    <font>
      <b/>
      <sz val="16"/>
      <color theme="1"/>
      <name val="Calibri"/>
      <family val="2"/>
      <scheme val="minor"/>
    </font>
  </fonts>
  <fills count="20">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FFFF0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6" tint="0.39997558519241921"/>
        <bgColor indexed="64"/>
      </patternFill>
    </fill>
    <fill>
      <patternFill patternType="solid">
        <fgColor theme="9"/>
        <bgColor indexed="64"/>
      </patternFill>
    </fill>
    <fill>
      <patternFill patternType="solid">
        <fgColor theme="8"/>
        <bgColor indexed="64"/>
      </patternFill>
    </fill>
    <fill>
      <patternFill patternType="solid">
        <fgColor theme="7"/>
        <bgColor indexed="64"/>
      </patternFill>
    </fill>
    <fill>
      <patternFill patternType="solid">
        <fgColor theme="6"/>
        <bgColor indexed="64"/>
      </patternFill>
    </fill>
    <fill>
      <patternFill patternType="solid">
        <fgColor theme="5"/>
        <bgColor indexed="64"/>
      </patternFill>
    </fill>
    <fill>
      <patternFill patternType="solid">
        <fgColor theme="2"/>
        <bgColor indexed="64"/>
      </patternFill>
    </fill>
    <fill>
      <patternFill patternType="solid">
        <fgColor theme="0" tint="-0.499984740745262"/>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indexed="64"/>
      </left>
      <right/>
      <top/>
      <bottom/>
      <diagonal/>
    </border>
    <border>
      <left style="thin">
        <color rgb="FF000000"/>
      </left>
      <right/>
      <top style="thin">
        <color rgb="FF000000"/>
      </top>
      <bottom style="thin">
        <color rgb="FF000000"/>
      </bottom>
      <diagonal/>
    </border>
    <border>
      <left style="medium">
        <color indexed="64"/>
      </left>
      <right/>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top style="thin">
        <color rgb="FF000000"/>
      </top>
      <bottom style="medium">
        <color indexed="64"/>
      </bottom>
      <diagonal/>
    </border>
    <border>
      <left/>
      <right style="medium">
        <color indexed="64"/>
      </right>
      <top style="thin">
        <color rgb="FF000000"/>
      </top>
      <bottom style="medium">
        <color indexed="64"/>
      </bottom>
      <diagonal/>
    </border>
    <border>
      <left/>
      <right style="medium">
        <color indexed="64"/>
      </right>
      <top/>
      <bottom style="thin">
        <color indexed="64"/>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medium">
        <color indexed="64"/>
      </top>
      <bottom/>
      <diagonal/>
    </border>
    <border>
      <left style="medium">
        <color indexed="64"/>
      </left>
      <right/>
      <top/>
      <bottom style="thin">
        <color indexed="64"/>
      </bottom>
      <diagonal/>
    </border>
    <border>
      <left style="thin">
        <color rgb="FF000000"/>
      </left>
      <right/>
      <top style="thin">
        <color rgb="FF000000"/>
      </top>
      <bottom/>
      <diagonal/>
    </border>
    <border>
      <left style="thin">
        <color rgb="FF000000"/>
      </left>
      <right/>
      <top/>
      <bottom/>
      <diagonal/>
    </border>
    <border>
      <left style="thin">
        <color indexed="64"/>
      </left>
      <right style="thin">
        <color indexed="64"/>
      </right>
      <top style="thin">
        <color indexed="64"/>
      </top>
      <bottom style="thin">
        <color theme="1"/>
      </bottom>
      <diagonal/>
    </border>
    <border>
      <left/>
      <right style="thin">
        <color indexed="64"/>
      </right>
      <top style="thin">
        <color indexed="64"/>
      </top>
      <bottom style="thin">
        <color theme="1"/>
      </bottom>
      <diagonal/>
    </border>
    <border>
      <left style="thin">
        <color rgb="FF000000"/>
      </left>
      <right style="thin">
        <color rgb="FF000000"/>
      </right>
      <top style="thin">
        <color indexed="64"/>
      </top>
      <bottom style="thin">
        <color theme="1"/>
      </bottom>
      <diagonal/>
    </border>
    <border>
      <left/>
      <right style="thin">
        <color rgb="FF000000"/>
      </right>
      <top style="thin">
        <color indexed="64"/>
      </top>
      <bottom style="thin">
        <color theme="1"/>
      </bottom>
      <diagonal/>
    </border>
    <border>
      <left style="thin">
        <color rgb="FF000000"/>
      </left>
      <right style="thin">
        <color rgb="FF000000"/>
      </right>
      <top/>
      <bottom/>
      <diagonal/>
    </border>
    <border>
      <left style="thin">
        <color indexed="64"/>
      </left>
      <right/>
      <top style="thin">
        <color indexed="64"/>
      </top>
      <bottom style="thin">
        <color theme="1"/>
      </bottom>
      <diagonal/>
    </border>
    <border>
      <left/>
      <right style="thin">
        <color rgb="FF000000"/>
      </right>
      <top/>
      <bottom/>
      <diagonal/>
    </border>
    <border>
      <left/>
      <right/>
      <top style="thin">
        <color indexed="64"/>
      </top>
      <bottom style="thin">
        <color theme="1"/>
      </bottom>
      <diagonal/>
    </border>
    <border>
      <left/>
      <right style="thin">
        <color rgb="FF000000"/>
      </right>
      <top style="thin">
        <color indexed="64"/>
      </top>
      <bottom style="thin">
        <color rgb="FF000000"/>
      </bottom>
      <diagonal/>
    </border>
    <border>
      <left/>
      <right style="medium">
        <color indexed="64"/>
      </right>
      <top/>
      <bottom/>
      <diagonal/>
    </border>
    <border>
      <left/>
      <right/>
      <top style="medium">
        <color indexed="64"/>
      </top>
      <bottom style="medium">
        <color indexed="64"/>
      </bottom>
      <diagonal/>
    </border>
  </borders>
  <cellStyleXfs count="2">
    <xf numFmtId="0" fontId="0" fillId="0" borderId="0"/>
    <xf numFmtId="9" fontId="33" fillId="0" borderId="0" applyFont="0" applyFill="0" applyBorder="0" applyAlignment="0" applyProtection="0"/>
  </cellStyleXfs>
  <cellXfs count="196">
    <xf numFmtId="0" fontId="0" fillId="0" borderId="0" xfId="0"/>
    <xf numFmtId="0" fontId="4" fillId="0" borderId="0" xfId="0" applyFont="1"/>
    <xf numFmtId="0" fontId="4" fillId="3" borderId="0" xfId="0" applyFont="1" applyFill="1" applyProtection="1">
      <protection locked="0"/>
    </xf>
    <xf numFmtId="0" fontId="5" fillId="0" borderId="0" xfId="0" applyFont="1"/>
    <xf numFmtId="0" fontId="0" fillId="0" borderId="0" xfId="0" applyAlignment="1">
      <alignment horizontal="left" vertical="center" wrapText="1"/>
    </xf>
    <xf numFmtId="10" fontId="0" fillId="0" borderId="11" xfId="0" applyNumberFormat="1" applyBorder="1" applyAlignment="1">
      <alignment horizontal="center" vertical="center" wrapText="1"/>
    </xf>
    <xf numFmtId="0" fontId="4" fillId="0" borderId="0" xfId="0" applyFont="1" applyAlignment="1">
      <alignment horizontal="center" vertical="center"/>
    </xf>
    <xf numFmtId="0" fontId="6" fillId="4" borderId="13" xfId="0" applyFont="1" applyFill="1" applyBorder="1" applyAlignment="1">
      <alignment horizontal="center" vertical="center" wrapText="1"/>
    </xf>
    <xf numFmtId="0" fontId="6" fillId="5" borderId="13" xfId="0" applyFont="1" applyFill="1" applyBorder="1" applyAlignment="1">
      <alignment horizontal="center" vertical="center" wrapText="1"/>
    </xf>
    <xf numFmtId="10" fontId="4" fillId="0" borderId="0" xfId="0" applyNumberFormat="1" applyFont="1" applyAlignment="1">
      <alignment horizontal="center"/>
    </xf>
    <xf numFmtId="10" fontId="4" fillId="0" borderId="0" xfId="0" applyNumberFormat="1" applyFont="1" applyAlignment="1">
      <alignment horizontal="center" vertical="center"/>
    </xf>
    <xf numFmtId="0" fontId="0" fillId="0" borderId="0" xfId="0" applyAlignment="1">
      <alignment vertical="justify" wrapText="1"/>
    </xf>
    <xf numFmtId="0" fontId="3" fillId="0" borderId="0" xfId="0" applyFont="1"/>
    <xf numFmtId="0" fontId="3" fillId="0" borderId="0" xfId="0" applyFont="1" applyAlignment="1">
      <alignment horizontal="left" vertical="center"/>
    </xf>
    <xf numFmtId="0" fontId="8" fillId="12" borderId="5" xfId="0" applyFont="1" applyFill="1" applyBorder="1" applyAlignment="1">
      <alignment horizontal="left" vertical="center" wrapText="1"/>
    </xf>
    <xf numFmtId="0" fontId="0" fillId="0" borderId="0" xfId="0" applyAlignment="1">
      <alignment wrapText="1"/>
    </xf>
    <xf numFmtId="0" fontId="0" fillId="0" borderId="0" xfId="0" applyAlignment="1">
      <alignment horizontal="left"/>
    </xf>
    <xf numFmtId="0" fontId="6" fillId="10" borderId="18" xfId="0" applyFont="1" applyFill="1" applyBorder="1" applyAlignment="1">
      <alignment horizontal="center" vertical="center" wrapText="1"/>
    </xf>
    <xf numFmtId="0" fontId="6" fillId="6" borderId="19" xfId="0"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left" vertical="top" wrapText="1"/>
    </xf>
    <xf numFmtId="10" fontId="9" fillId="0" borderId="11" xfId="0" applyNumberFormat="1" applyFont="1" applyBorder="1" applyAlignment="1">
      <alignment horizontal="center" vertical="center" wrapText="1"/>
    </xf>
    <xf numFmtId="0" fontId="1" fillId="0" borderId="19" xfId="0" applyFont="1" applyBorder="1" applyAlignment="1">
      <alignment horizontal="left" vertical="top" wrapText="1"/>
    </xf>
    <xf numFmtId="0" fontId="7" fillId="0" borderId="18" xfId="0" applyFont="1" applyBorder="1" applyAlignment="1">
      <alignment horizontal="left" vertical="top" wrapText="1"/>
    </xf>
    <xf numFmtId="0" fontId="0" fillId="0" borderId="0" xfId="0" applyAlignment="1">
      <alignment vertical="center"/>
    </xf>
    <xf numFmtId="0" fontId="1" fillId="0" borderId="0" xfId="0" applyFont="1" applyAlignment="1">
      <alignment vertical="top" wrapText="1"/>
    </xf>
    <xf numFmtId="0" fontId="15" fillId="0" borderId="10" xfId="0" applyFont="1" applyBorder="1" applyAlignment="1">
      <alignment vertical="center" wrapText="1"/>
    </xf>
    <xf numFmtId="0" fontId="3" fillId="0" borderId="10" xfId="0" applyFont="1" applyBorder="1" applyAlignment="1">
      <alignment vertical="center" wrapText="1"/>
    </xf>
    <xf numFmtId="0" fontId="3" fillId="0" borderId="24" xfId="0" applyFont="1" applyBorder="1" applyAlignment="1">
      <alignment vertical="center" wrapText="1"/>
    </xf>
    <xf numFmtId="0" fontId="2" fillId="2" borderId="10" xfId="0" applyFont="1" applyFill="1" applyBorder="1" applyAlignment="1">
      <alignment horizontal="center" vertical="center"/>
    </xf>
    <xf numFmtId="0" fontId="16" fillId="2" borderId="11" xfId="0" applyFont="1" applyFill="1" applyBorder="1" applyAlignment="1">
      <alignment horizontal="center" vertical="center" wrapText="1"/>
    </xf>
    <xf numFmtId="0" fontId="13" fillId="0" borderId="10" xfId="0" applyFont="1" applyBorder="1" applyAlignment="1">
      <alignment horizontal="left" vertical="top" wrapText="1"/>
    </xf>
    <xf numFmtId="0" fontId="13" fillId="0" borderId="11" xfId="0" applyFont="1" applyBorder="1" applyAlignment="1">
      <alignment horizontal="left" vertical="top" wrapText="1"/>
    </xf>
    <xf numFmtId="0" fontId="15" fillId="0" borderId="21" xfId="0" applyFont="1" applyBorder="1" applyAlignment="1">
      <alignment vertical="center" wrapText="1"/>
    </xf>
    <xf numFmtId="0" fontId="12" fillId="0" borderId="10" xfId="0" applyFont="1" applyBorder="1" applyAlignment="1">
      <alignment vertical="top" wrapText="1"/>
    </xf>
    <xf numFmtId="0" fontId="12" fillId="0" borderId="11" xfId="0" applyFont="1" applyBorder="1" applyAlignment="1">
      <alignment vertical="top" wrapText="1"/>
    </xf>
    <xf numFmtId="0" fontId="12" fillId="0" borderId="12" xfId="0" applyFont="1" applyBorder="1" applyAlignment="1">
      <alignment vertical="top" wrapText="1"/>
    </xf>
    <xf numFmtId="0" fontId="12" fillId="0" borderId="16" xfId="0" applyFont="1" applyBorder="1" applyAlignment="1">
      <alignment vertical="top" wrapText="1"/>
    </xf>
    <xf numFmtId="0" fontId="17" fillId="0" borderId="1" xfId="0" applyFont="1" applyBorder="1"/>
    <xf numFmtId="0" fontId="19" fillId="0" borderId="0" xfId="0" applyFont="1" applyAlignment="1">
      <alignment horizontal="left" vertical="top"/>
    </xf>
    <xf numFmtId="0" fontId="18" fillId="0" borderId="1" xfId="0" applyFont="1" applyBorder="1" applyAlignment="1">
      <alignment horizontal="left" vertical="top" wrapText="1"/>
    </xf>
    <xf numFmtId="0" fontId="0" fillId="0" borderId="1" xfId="0" applyBorder="1" applyAlignment="1">
      <alignment horizontal="left" vertical="center" wrapText="1"/>
    </xf>
    <xf numFmtId="0" fontId="21" fillId="0" borderId="1" xfId="0" applyFont="1" applyBorder="1" applyAlignment="1">
      <alignment horizontal="left" vertical="top" wrapText="1"/>
    </xf>
    <xf numFmtId="0" fontId="22" fillId="0" borderId="1" xfId="0" applyFont="1" applyBorder="1" applyAlignment="1">
      <alignment horizontal="left" vertical="top" wrapText="1"/>
    </xf>
    <xf numFmtId="0" fontId="13" fillId="0" borderId="12" xfId="0" applyFont="1" applyBorder="1" applyAlignment="1">
      <alignment horizontal="left" vertical="top" wrapText="1"/>
    </xf>
    <xf numFmtId="0" fontId="29" fillId="0" borderId="1" xfId="0" applyFont="1" applyBorder="1" applyAlignment="1">
      <alignment horizontal="left" vertical="top" wrapText="1"/>
    </xf>
    <xf numFmtId="0" fontId="30" fillId="0" borderId="1" xfId="0" applyFont="1" applyBorder="1" applyAlignment="1">
      <alignment vertical="top" wrapText="1"/>
    </xf>
    <xf numFmtId="0" fontId="4" fillId="12" borderId="46" xfId="0" applyFont="1" applyFill="1" applyBorder="1" applyAlignment="1">
      <alignment horizontal="center" vertical="center" wrapText="1"/>
    </xf>
    <xf numFmtId="0" fontId="6" fillId="7" borderId="46" xfId="0" applyFont="1" applyFill="1" applyBorder="1" applyAlignment="1">
      <alignment horizontal="center" vertical="center" wrapText="1"/>
    </xf>
    <xf numFmtId="0" fontId="6" fillId="9" borderId="41" xfId="0" applyFont="1" applyFill="1" applyBorder="1" applyAlignment="1">
      <alignment horizontal="center" vertical="center" wrapText="1"/>
    </xf>
    <xf numFmtId="0" fontId="4" fillId="0" borderId="0" xfId="0" applyFont="1" applyAlignment="1">
      <alignment wrapText="1"/>
    </xf>
    <xf numFmtId="0" fontId="4" fillId="13" borderId="34" xfId="0" applyFont="1" applyFill="1" applyBorder="1" applyAlignment="1">
      <alignment horizontal="center" vertical="center" wrapText="1"/>
    </xf>
    <xf numFmtId="0" fontId="6" fillId="13" borderId="18" xfId="0" applyFont="1" applyFill="1" applyBorder="1" applyAlignment="1">
      <alignment horizontal="center" vertical="center" wrapText="1"/>
    </xf>
    <xf numFmtId="0" fontId="6" fillId="13" borderId="13" xfId="0" applyFont="1" applyFill="1" applyBorder="1" applyAlignment="1">
      <alignment horizontal="center" vertical="center" wrapText="1"/>
    </xf>
    <xf numFmtId="0" fontId="4" fillId="14" borderId="40" xfId="0" applyFont="1" applyFill="1" applyBorder="1" applyAlignment="1">
      <alignment horizontal="center" vertical="center" wrapText="1"/>
    </xf>
    <xf numFmtId="0" fontId="6" fillId="14" borderId="33" xfId="0" applyFont="1" applyFill="1" applyBorder="1" applyAlignment="1">
      <alignment horizontal="center" vertical="center" wrapText="1"/>
    </xf>
    <xf numFmtId="0" fontId="6" fillId="14" borderId="13" xfId="0" applyFont="1" applyFill="1" applyBorder="1" applyAlignment="1">
      <alignment horizontal="center" vertical="center" wrapText="1"/>
    </xf>
    <xf numFmtId="0" fontId="4" fillId="15" borderId="34" xfId="0" applyFont="1" applyFill="1" applyBorder="1" applyAlignment="1">
      <alignment horizontal="center" vertical="center" wrapText="1"/>
    </xf>
    <xf numFmtId="0" fontId="6" fillId="15" borderId="18" xfId="0" applyFont="1" applyFill="1" applyBorder="1" applyAlignment="1">
      <alignment horizontal="center" vertical="center" wrapText="1"/>
    </xf>
    <xf numFmtId="0" fontId="4" fillId="16" borderId="34" xfId="0" applyFont="1" applyFill="1" applyBorder="1" applyAlignment="1">
      <alignment horizontal="center" vertical="center" wrapText="1"/>
    </xf>
    <xf numFmtId="0" fontId="6" fillId="17" borderId="18" xfId="0" applyFont="1" applyFill="1" applyBorder="1" applyAlignment="1">
      <alignment horizontal="center" vertical="center" wrapText="1"/>
    </xf>
    <xf numFmtId="0" fontId="6" fillId="17" borderId="13" xfId="0" applyFont="1" applyFill="1" applyBorder="1" applyAlignment="1">
      <alignment horizontal="center" vertical="center" wrapText="1"/>
    </xf>
    <xf numFmtId="0" fontId="6" fillId="18" borderId="18" xfId="0" applyFont="1" applyFill="1" applyBorder="1" applyAlignment="1">
      <alignment horizontal="center" vertical="center" wrapText="1"/>
    </xf>
    <xf numFmtId="0" fontId="28" fillId="13" borderId="43" xfId="0" applyFont="1" applyFill="1" applyBorder="1" applyAlignment="1">
      <alignment horizontal="center" vertical="center" wrapText="1"/>
    </xf>
    <xf numFmtId="0" fontId="28" fillId="13" borderId="42" xfId="0" applyFont="1" applyFill="1" applyBorder="1" applyAlignment="1">
      <alignment horizontal="center" vertical="center" wrapText="1"/>
    </xf>
    <xf numFmtId="0" fontId="28" fillId="14" borderId="42" xfId="0" applyFont="1" applyFill="1" applyBorder="1" applyAlignment="1">
      <alignment horizontal="center" vertical="center" wrapText="1"/>
    </xf>
    <xf numFmtId="0" fontId="28" fillId="17" borderId="43" xfId="0" applyFont="1" applyFill="1" applyBorder="1" applyAlignment="1">
      <alignment horizontal="center" vertical="center" wrapText="1"/>
    </xf>
    <xf numFmtId="0" fontId="4" fillId="17" borderId="34" xfId="0" applyFont="1" applyFill="1" applyBorder="1" applyAlignment="1">
      <alignment horizontal="center" vertical="center" wrapText="1"/>
    </xf>
    <xf numFmtId="0" fontId="4" fillId="18" borderId="34" xfId="0" applyFont="1" applyFill="1" applyBorder="1" applyAlignment="1">
      <alignment horizontal="center" vertical="center" wrapText="1"/>
    </xf>
    <xf numFmtId="0" fontId="4" fillId="0" borderId="1" xfId="0" applyFont="1" applyBorder="1" applyAlignment="1" applyProtection="1">
      <alignment horizontal="center" vertical="center"/>
      <protection locked="0"/>
    </xf>
    <xf numFmtId="0" fontId="28" fillId="13" borderId="47" xfId="0" applyFont="1" applyFill="1" applyBorder="1" applyAlignment="1">
      <alignment horizontal="center" vertical="center" wrapText="1"/>
    </xf>
    <xf numFmtId="0" fontId="28" fillId="14" borderId="47" xfId="0" applyFont="1" applyFill="1" applyBorder="1" applyAlignment="1">
      <alignment horizontal="center" vertical="center" wrapText="1"/>
    </xf>
    <xf numFmtId="0" fontId="28" fillId="15" borderId="49" xfId="0" applyFont="1" applyFill="1" applyBorder="1" applyAlignment="1">
      <alignment horizontal="center" vertical="center" wrapText="1"/>
    </xf>
    <xf numFmtId="0" fontId="28" fillId="17" borderId="47" xfId="0" applyFont="1" applyFill="1" applyBorder="1" applyAlignment="1">
      <alignment horizontal="center" vertical="center" wrapText="1"/>
    </xf>
    <xf numFmtId="0" fontId="28" fillId="12" borderId="1" xfId="0" applyFont="1" applyFill="1" applyBorder="1" applyAlignment="1">
      <alignment horizontal="center" vertical="center" wrapText="1"/>
    </xf>
    <xf numFmtId="0" fontId="28" fillId="11" borderId="1" xfId="0" applyFont="1" applyFill="1" applyBorder="1" applyAlignment="1">
      <alignment horizontal="center" vertical="center" wrapText="1"/>
    </xf>
    <xf numFmtId="0" fontId="28" fillId="4" borderId="1" xfId="0" applyFont="1" applyFill="1" applyBorder="1" applyAlignment="1">
      <alignment horizontal="center" vertical="center" wrapText="1"/>
    </xf>
    <xf numFmtId="0" fontId="28" fillId="5" borderId="1" xfId="0" applyFont="1" applyFill="1" applyBorder="1" applyAlignment="1">
      <alignment horizontal="center" vertical="center" wrapText="1"/>
    </xf>
    <xf numFmtId="0" fontId="28" fillId="6" borderId="1" xfId="0" applyFont="1" applyFill="1" applyBorder="1" applyAlignment="1">
      <alignment horizontal="center" vertical="center" wrapText="1"/>
    </xf>
    <xf numFmtId="0" fontId="28" fillId="7" borderId="1" xfId="0" applyFont="1" applyFill="1" applyBorder="1" applyAlignment="1">
      <alignment horizontal="center" vertical="center" wrapText="1"/>
    </xf>
    <xf numFmtId="0" fontId="28" fillId="14" borderId="49" xfId="0" applyFont="1" applyFill="1" applyBorder="1" applyAlignment="1">
      <alignment horizontal="center" vertical="center" wrapText="1"/>
    </xf>
    <xf numFmtId="0" fontId="28" fillId="15" borderId="45" xfId="0" applyFont="1" applyFill="1" applyBorder="1" applyAlignment="1">
      <alignment horizontal="center" vertical="center" wrapText="1"/>
    </xf>
    <xf numFmtId="0" fontId="28" fillId="16" borderId="49" xfId="0" applyFont="1" applyFill="1" applyBorder="1" applyAlignment="1">
      <alignment horizontal="center" vertical="center" wrapText="1"/>
    </xf>
    <xf numFmtId="0" fontId="28" fillId="17" borderId="50" xfId="0" applyFont="1" applyFill="1" applyBorder="1" applyAlignment="1">
      <alignment horizontal="center" vertical="center" wrapText="1"/>
    </xf>
    <xf numFmtId="0" fontId="28" fillId="18" borderId="50" xfId="0" applyFont="1" applyFill="1" applyBorder="1" applyAlignment="1">
      <alignment horizontal="center" vertical="center" wrapText="1"/>
    </xf>
    <xf numFmtId="0" fontId="6" fillId="0" borderId="0" xfId="0" applyFont="1" applyAlignment="1">
      <alignment horizontal="center" vertical="center"/>
    </xf>
    <xf numFmtId="0" fontId="28" fillId="9" borderId="2" xfId="0" applyFont="1" applyFill="1" applyBorder="1" applyAlignment="1">
      <alignment horizontal="center" vertical="center" wrapText="1"/>
    </xf>
    <xf numFmtId="0" fontId="28" fillId="13" borderId="45" xfId="0" applyFont="1" applyFill="1" applyBorder="1" applyAlignment="1">
      <alignment horizontal="center" vertical="center" wrapText="1"/>
    </xf>
    <xf numFmtId="0" fontId="28" fillId="18" borderId="43" xfId="0" applyFont="1" applyFill="1" applyBorder="1" applyAlignment="1">
      <alignment horizontal="center" vertical="center" wrapText="1"/>
    </xf>
    <xf numFmtId="0" fontId="5" fillId="0" borderId="0" xfId="0" applyFont="1" applyAlignment="1">
      <alignment horizontal="center" vertical="center"/>
    </xf>
    <xf numFmtId="0" fontId="5" fillId="0" borderId="0" xfId="0" applyFont="1" applyAlignment="1">
      <alignment wrapText="1"/>
    </xf>
    <xf numFmtId="0" fontId="32" fillId="19" borderId="34" xfId="0" applyFont="1" applyFill="1" applyBorder="1" applyAlignment="1">
      <alignment horizontal="center" vertical="center" wrapText="1"/>
    </xf>
    <xf numFmtId="0" fontId="32" fillId="19" borderId="17" xfId="0" applyFont="1" applyFill="1" applyBorder="1" applyAlignment="1">
      <alignment horizontal="center" vertical="center"/>
    </xf>
    <xf numFmtId="0" fontId="10" fillId="19" borderId="48" xfId="0" applyFont="1" applyFill="1" applyBorder="1" applyAlignment="1">
      <alignment horizontal="center" vertical="center"/>
    </xf>
    <xf numFmtId="0" fontId="32" fillId="19" borderId="46" xfId="0" applyFont="1" applyFill="1" applyBorder="1" applyAlignment="1">
      <alignment horizontal="center" vertical="center" wrapText="1"/>
    </xf>
    <xf numFmtId="2" fontId="28" fillId="0" borderId="20" xfId="0" applyNumberFormat="1" applyFont="1" applyBorder="1" applyAlignment="1">
      <alignment horizontal="center" vertical="center" wrapText="1"/>
    </xf>
    <xf numFmtId="1" fontId="28" fillId="0" borderId="1" xfId="0" applyNumberFormat="1" applyFont="1" applyBorder="1" applyAlignment="1">
      <alignment horizontal="center" vertical="center" wrapText="1"/>
    </xf>
    <xf numFmtId="1" fontId="28" fillId="0" borderId="4" xfId="0" applyNumberFormat="1" applyFont="1" applyBorder="1" applyAlignment="1">
      <alignment horizontal="center" vertical="center" wrapText="1"/>
    </xf>
    <xf numFmtId="1" fontId="28" fillId="0" borderId="3" xfId="0" applyNumberFormat="1" applyFont="1" applyBorder="1" applyAlignment="1">
      <alignment horizontal="center" vertical="center" wrapText="1"/>
    </xf>
    <xf numFmtId="0" fontId="28" fillId="0" borderId="0" xfId="0" applyFont="1" applyAlignment="1">
      <alignment horizontal="center" vertical="center" wrapText="1"/>
    </xf>
    <xf numFmtId="10" fontId="28" fillId="0" borderId="20" xfId="0" applyNumberFormat="1" applyFont="1" applyBorder="1" applyAlignment="1">
      <alignment horizontal="center" vertical="center" wrapText="1"/>
    </xf>
    <xf numFmtId="10" fontId="28" fillId="0" borderId="1" xfId="0" applyNumberFormat="1" applyFont="1" applyBorder="1" applyAlignment="1">
      <alignment horizontal="center" vertical="center" wrapText="1"/>
    </xf>
    <xf numFmtId="10" fontId="28" fillId="0" borderId="4" xfId="0" applyNumberFormat="1" applyFont="1" applyBorder="1" applyAlignment="1">
      <alignment horizontal="center" vertical="center" wrapText="1"/>
    </xf>
    <xf numFmtId="10" fontId="28" fillId="0" borderId="2" xfId="0" applyNumberFormat="1" applyFont="1" applyBorder="1" applyAlignment="1">
      <alignment horizontal="center" vertical="center" wrapText="1"/>
    </xf>
    <xf numFmtId="10" fontId="28" fillId="0" borderId="3" xfId="0" applyNumberFormat="1" applyFont="1" applyBorder="1" applyAlignment="1">
      <alignment horizontal="center" vertical="center" wrapText="1"/>
    </xf>
    <xf numFmtId="0" fontId="5" fillId="19" borderId="0" xfId="0" applyFont="1" applyFill="1" applyAlignment="1" applyProtection="1">
      <alignment horizontal="center" vertical="center" wrapText="1"/>
      <protection locked="0"/>
    </xf>
    <xf numFmtId="0" fontId="6" fillId="0" borderId="1" xfId="0" applyFont="1" applyBorder="1" applyAlignment="1" applyProtection="1">
      <alignment horizontal="center" vertical="center" wrapText="1"/>
      <protection locked="0"/>
    </xf>
    <xf numFmtId="0" fontId="10" fillId="19" borderId="44" xfId="0" applyFont="1" applyFill="1" applyBorder="1" applyAlignment="1">
      <alignment horizontal="center" vertical="center"/>
    </xf>
    <xf numFmtId="0" fontId="11" fillId="8" borderId="23" xfId="0" applyFont="1" applyFill="1" applyBorder="1" applyAlignment="1">
      <alignment horizontal="right" vertical="center"/>
    </xf>
    <xf numFmtId="14" fontId="11" fillId="8" borderId="4" xfId="0" applyNumberFormat="1" applyFont="1" applyFill="1" applyBorder="1" applyAlignment="1">
      <alignment horizontal="left" vertical="center"/>
    </xf>
    <xf numFmtId="14" fontId="11" fillId="8" borderId="2" xfId="0" applyNumberFormat="1" applyFont="1" applyFill="1" applyBorder="1" applyAlignment="1">
      <alignment horizontal="center" vertical="center"/>
    </xf>
    <xf numFmtId="10" fontId="0" fillId="0" borderId="0" xfId="0" applyNumberFormat="1"/>
    <xf numFmtId="9" fontId="4" fillId="0" borderId="0" xfId="1" applyFont="1"/>
    <xf numFmtId="9" fontId="0" fillId="0" borderId="0" xfId="0" applyNumberFormat="1"/>
    <xf numFmtId="9" fontId="4" fillId="0" borderId="33" xfId="0" applyNumberFormat="1" applyFont="1" applyBorder="1" applyAlignment="1" applyProtection="1">
      <alignment horizontal="center" vertical="center"/>
      <protection locked="0"/>
    </xf>
    <xf numFmtId="9" fontId="4" fillId="19" borderId="33" xfId="0" applyNumberFormat="1" applyFont="1" applyFill="1" applyBorder="1" applyAlignment="1" applyProtection="1">
      <alignment horizontal="center" vertical="center"/>
      <protection locked="0"/>
    </xf>
    <xf numFmtId="0" fontId="13" fillId="0" borderId="1" xfId="0" applyFont="1" applyBorder="1" applyAlignment="1">
      <alignment horizontal="left" vertical="top" wrapText="1"/>
    </xf>
    <xf numFmtId="0" fontId="1" fillId="0" borderId="0" xfId="0" applyFont="1"/>
    <xf numFmtId="0" fontId="1" fillId="0" borderId="0" xfId="0" applyFont="1" applyAlignment="1">
      <alignment horizontal="center" vertical="center"/>
    </xf>
    <xf numFmtId="0" fontId="1" fillId="0" borderId="0" xfId="0" applyFont="1" applyAlignment="1">
      <alignment horizontal="right"/>
    </xf>
    <xf numFmtId="9" fontId="33" fillId="0" borderId="1" xfId="1" applyFont="1" applyBorder="1" applyAlignment="1">
      <alignment horizontal="center" vertical="center"/>
    </xf>
    <xf numFmtId="10" fontId="0" fillId="0" borderId="1" xfId="0" applyNumberFormat="1" applyBorder="1" applyAlignment="1">
      <alignment horizontal="center" vertical="center"/>
    </xf>
    <xf numFmtId="9" fontId="0" fillId="0" borderId="1" xfId="0" applyNumberFormat="1" applyBorder="1" applyAlignment="1">
      <alignment horizontal="center" vertical="center"/>
    </xf>
    <xf numFmtId="1" fontId="1" fillId="0" borderId="1" xfId="0" applyNumberFormat="1" applyFont="1" applyBorder="1" applyAlignment="1">
      <alignment horizontal="center" vertical="center" wrapText="1"/>
    </xf>
    <xf numFmtId="10" fontId="1" fillId="0" borderId="1" xfId="0" applyNumberFormat="1" applyFont="1" applyBorder="1" applyAlignment="1">
      <alignment horizontal="center" vertical="center" wrapText="1"/>
    </xf>
    <xf numFmtId="10" fontId="1" fillId="0" borderId="4" xfId="0" applyNumberFormat="1" applyFont="1" applyBorder="1" applyAlignment="1">
      <alignment horizontal="center" vertical="center" wrapText="1"/>
    </xf>
    <xf numFmtId="10" fontId="1" fillId="0" borderId="2" xfId="0" applyNumberFormat="1" applyFont="1" applyBorder="1" applyAlignment="1">
      <alignment horizontal="center" vertical="center" wrapText="1"/>
    </xf>
    <xf numFmtId="10" fontId="1" fillId="0" borderId="3" xfId="0" applyNumberFormat="1" applyFont="1" applyBorder="1" applyAlignment="1">
      <alignment horizontal="center" vertical="center" wrapText="1"/>
    </xf>
    <xf numFmtId="0" fontId="34" fillId="0" borderId="1" xfId="0" applyFont="1" applyBorder="1" applyAlignment="1">
      <alignment horizontal="center" vertical="center"/>
    </xf>
    <xf numFmtId="14" fontId="34" fillId="0" borderId="4" xfId="0" applyNumberFormat="1" applyFont="1" applyBorder="1" applyAlignment="1">
      <alignment horizontal="center" vertical="center"/>
    </xf>
    <xf numFmtId="0" fontId="34" fillId="0" borderId="0" xfId="0" applyFont="1" applyAlignment="1">
      <alignment horizontal="center" vertical="center"/>
    </xf>
    <xf numFmtId="0" fontId="23" fillId="0" borderId="1" xfId="0" applyFont="1" applyBorder="1" applyAlignment="1">
      <alignment horizontal="left" vertical="top" wrapText="1"/>
    </xf>
    <xf numFmtId="0" fontId="23" fillId="0" borderId="16" xfId="0" applyFont="1" applyBorder="1" applyAlignment="1">
      <alignment horizontal="left" vertical="top" wrapText="1"/>
    </xf>
    <xf numFmtId="9" fontId="0" fillId="0" borderId="0" xfId="1" applyFont="1"/>
    <xf numFmtId="0" fontId="2" fillId="0" borderId="0" xfId="0" applyFont="1" applyAlignment="1">
      <alignment horizontal="left" wrapText="1"/>
    </xf>
    <xf numFmtId="0" fontId="2" fillId="0" borderId="51" xfId="0" applyFont="1" applyBorder="1" applyAlignment="1">
      <alignment horizontal="left" wrapText="1"/>
    </xf>
    <xf numFmtId="15" fontId="3" fillId="0" borderId="0" xfId="0" applyNumberFormat="1" applyFont="1" applyProtection="1">
      <protection locked="0"/>
    </xf>
    <xf numFmtId="0" fontId="3" fillId="0" borderId="0" xfId="0" applyFont="1" applyProtection="1">
      <protection locked="0"/>
    </xf>
    <xf numFmtId="0" fontId="3" fillId="0" borderId="6" xfId="0" applyFont="1" applyBorder="1" applyAlignment="1" applyProtection="1">
      <alignment horizontal="center" wrapText="1"/>
      <protection locked="0"/>
    </xf>
    <xf numFmtId="0" fontId="3" fillId="0" borderId="52" xfId="0" applyFont="1" applyBorder="1" applyAlignment="1" applyProtection="1">
      <alignment horizontal="center" wrapText="1"/>
      <protection locked="0"/>
    </xf>
    <xf numFmtId="0" fontId="3" fillId="0" borderId="7" xfId="0" applyFont="1" applyBorder="1" applyAlignment="1" applyProtection="1">
      <alignment horizontal="center" wrapText="1"/>
      <protection locked="0"/>
    </xf>
    <xf numFmtId="14" fontId="3" fillId="0" borderId="6" xfId="0" applyNumberFormat="1" applyFont="1" applyBorder="1" applyAlignment="1" applyProtection="1">
      <alignment horizontal="center"/>
      <protection locked="0"/>
    </xf>
    <xf numFmtId="14" fontId="3" fillId="0" borderId="52" xfId="0" applyNumberFormat="1" applyFont="1" applyBorder="1" applyAlignment="1" applyProtection="1">
      <alignment horizontal="center"/>
      <protection locked="0"/>
    </xf>
    <xf numFmtId="14" fontId="3" fillId="0" borderId="7" xfId="0" applyNumberFormat="1" applyFont="1" applyBorder="1" applyAlignment="1" applyProtection="1">
      <alignment horizontal="center"/>
      <protection locked="0"/>
    </xf>
    <xf numFmtId="15" fontId="3" fillId="0" borderId="6" xfId="0" applyNumberFormat="1" applyFont="1" applyBorder="1" applyAlignment="1" applyProtection="1">
      <alignment horizontal="center"/>
      <protection locked="0"/>
    </xf>
    <xf numFmtId="15" fontId="3" fillId="0" borderId="52" xfId="0" applyNumberFormat="1" applyFont="1" applyBorder="1" applyAlignment="1" applyProtection="1">
      <alignment horizontal="center"/>
      <protection locked="0"/>
    </xf>
    <xf numFmtId="15" fontId="3" fillId="0" borderId="7" xfId="0" applyNumberFormat="1" applyFont="1" applyBorder="1" applyAlignment="1" applyProtection="1">
      <alignment horizontal="center"/>
      <protection locked="0"/>
    </xf>
    <xf numFmtId="0" fontId="32" fillId="19" borderId="33" xfId="0" applyFont="1" applyFill="1" applyBorder="1" applyAlignment="1">
      <alignment horizontal="center" vertical="center" wrapText="1"/>
    </xf>
    <xf numFmtId="0" fontId="32" fillId="19" borderId="13" xfId="0" applyFont="1" applyFill="1" applyBorder="1" applyAlignment="1">
      <alignment horizontal="center" vertical="center" wrapText="1"/>
    </xf>
    <xf numFmtId="0" fontId="32" fillId="19" borderId="35" xfId="0" applyFont="1" applyFill="1" applyBorder="1" applyAlignment="1">
      <alignment horizontal="center" vertical="center" wrapText="1"/>
    </xf>
    <xf numFmtId="0" fontId="10" fillId="8" borderId="2" xfId="0" applyFont="1" applyFill="1" applyBorder="1" applyAlignment="1">
      <alignment horizontal="center" vertical="center"/>
    </xf>
    <xf numFmtId="0" fontId="10" fillId="8" borderId="3" xfId="0" applyFont="1" applyFill="1" applyBorder="1" applyAlignment="1">
      <alignment horizontal="center" vertical="center"/>
    </xf>
    <xf numFmtId="0" fontId="10" fillId="8" borderId="22" xfId="0" applyFont="1" applyFill="1" applyBorder="1" applyAlignment="1">
      <alignment horizontal="center" vertical="center"/>
    </xf>
    <xf numFmtId="0" fontId="11" fillId="8" borderId="3" xfId="0" applyFont="1" applyFill="1" applyBorder="1" applyAlignment="1">
      <alignment horizontal="center" vertical="center"/>
    </xf>
    <xf numFmtId="0" fontId="2" fillId="12" borderId="14" xfId="0" applyFont="1" applyFill="1" applyBorder="1" applyAlignment="1">
      <alignment horizontal="center" vertical="center"/>
    </xf>
    <xf numFmtId="0" fontId="2" fillId="12" borderId="15" xfId="0" applyFont="1" applyFill="1" applyBorder="1" applyAlignment="1">
      <alignment horizontal="center" vertical="center"/>
    </xf>
    <xf numFmtId="0" fontId="13" fillId="0" borderId="25" xfId="0" applyFont="1" applyBorder="1" applyAlignment="1">
      <alignment horizontal="left" vertical="top" wrapText="1"/>
    </xf>
    <xf numFmtId="0" fontId="13" fillId="0" borderId="26" xfId="0" applyFont="1" applyBorder="1" applyAlignment="1">
      <alignment horizontal="left" vertical="top" wrapText="1"/>
    </xf>
    <xf numFmtId="0" fontId="2" fillId="2" borderId="23" xfId="0" applyFont="1" applyFill="1" applyBorder="1" applyAlignment="1">
      <alignment horizontal="center" vertical="center" wrapText="1"/>
    </xf>
    <xf numFmtId="0" fontId="2" fillId="2" borderId="22" xfId="0" applyFont="1" applyFill="1" applyBorder="1" applyAlignment="1">
      <alignment horizontal="center" vertical="center" wrapText="1"/>
    </xf>
    <xf numFmtId="0" fontId="14" fillId="12" borderId="38" xfId="0" applyFont="1" applyFill="1" applyBorder="1" applyAlignment="1">
      <alignment horizontal="center" vertical="center"/>
    </xf>
    <xf numFmtId="0" fontId="14" fillId="12" borderId="32" xfId="0" applyFont="1" applyFill="1" applyBorder="1" applyAlignment="1">
      <alignment horizontal="center" vertical="center"/>
    </xf>
    <xf numFmtId="0" fontId="3" fillId="0" borderId="1" xfId="0" applyFont="1" applyBorder="1" applyAlignment="1">
      <alignment horizontal="left" vertical="top" wrapText="1"/>
    </xf>
    <xf numFmtId="0" fontId="3" fillId="0" borderId="1" xfId="0" applyFont="1" applyBorder="1" applyAlignment="1">
      <alignment horizontal="left" vertical="top"/>
    </xf>
    <xf numFmtId="0" fontId="2" fillId="12" borderId="39" xfId="0" applyFont="1" applyFill="1" applyBorder="1" applyAlignment="1">
      <alignment horizontal="center" vertical="center" wrapText="1"/>
    </xf>
    <xf numFmtId="0" fontId="2" fillId="12" borderId="31" xfId="0" applyFont="1" applyFill="1" applyBorder="1" applyAlignment="1">
      <alignment horizontal="center" vertical="center" wrapText="1"/>
    </xf>
    <xf numFmtId="0" fontId="2" fillId="12" borderId="39" xfId="0" applyFont="1" applyFill="1" applyBorder="1" applyAlignment="1">
      <alignment horizontal="center" vertical="center"/>
    </xf>
    <xf numFmtId="0" fontId="2" fillId="12" borderId="31" xfId="0" applyFont="1" applyFill="1" applyBorder="1" applyAlignment="1">
      <alignment horizontal="center" vertical="center"/>
    </xf>
    <xf numFmtId="0" fontId="13" fillId="0" borderId="9" xfId="0" applyFont="1" applyBorder="1" applyAlignment="1">
      <alignment horizontal="left" vertical="top" wrapText="1"/>
    </xf>
    <xf numFmtId="0" fontId="13" fillId="0" borderId="8" xfId="0" applyFont="1" applyBorder="1" applyAlignment="1">
      <alignment horizontal="left" vertical="top" wrapText="1"/>
    </xf>
    <xf numFmtId="0" fontId="2" fillId="2" borderId="14" xfId="0" applyFont="1" applyFill="1" applyBorder="1" applyAlignment="1">
      <alignment horizontal="left" vertical="center" wrapText="1"/>
    </xf>
    <xf numFmtId="0" fontId="2" fillId="2" borderId="15" xfId="0" applyFont="1" applyFill="1" applyBorder="1" applyAlignment="1">
      <alignment horizontal="left" vertical="center" wrapText="1"/>
    </xf>
    <xf numFmtId="0" fontId="2" fillId="12" borderId="9" xfId="0" applyFont="1" applyFill="1" applyBorder="1" applyAlignment="1">
      <alignment horizontal="center" vertical="center" wrapText="1"/>
    </xf>
    <xf numFmtId="0" fontId="2" fillId="12" borderId="8" xfId="0" applyFont="1" applyFill="1" applyBorder="1" applyAlignment="1">
      <alignment horizontal="center" vertical="center" wrapText="1"/>
    </xf>
    <xf numFmtId="0" fontId="12" fillId="2" borderId="14" xfId="0" applyFont="1" applyFill="1" applyBorder="1" applyAlignment="1">
      <alignment horizontal="left" vertical="top" wrapText="1"/>
    </xf>
    <xf numFmtId="0" fontId="12" fillId="2" borderId="15" xfId="0" applyFont="1" applyFill="1" applyBorder="1" applyAlignment="1">
      <alignment horizontal="left" vertical="top" wrapText="1"/>
    </xf>
    <xf numFmtId="0" fontId="2" fillId="2" borderId="14" xfId="0" applyFont="1" applyFill="1" applyBorder="1" applyAlignment="1">
      <alignment horizontal="left" vertical="top" wrapText="1"/>
    </xf>
    <xf numFmtId="0" fontId="2" fillId="2" borderId="15" xfId="0" applyFont="1" applyFill="1" applyBorder="1" applyAlignment="1">
      <alignment horizontal="left" vertical="top" wrapText="1"/>
    </xf>
    <xf numFmtId="0" fontId="1" fillId="2" borderId="14" xfId="0" applyFont="1" applyFill="1" applyBorder="1" applyAlignment="1">
      <alignment horizontal="left" vertical="top" wrapText="1"/>
    </xf>
    <xf numFmtId="0" fontId="1" fillId="2" borderId="15" xfId="0" applyFont="1" applyFill="1" applyBorder="1" applyAlignment="1">
      <alignment horizontal="left" vertical="top" wrapText="1"/>
    </xf>
    <xf numFmtId="0" fontId="2" fillId="12" borderId="6" xfId="0" applyFont="1" applyFill="1" applyBorder="1" applyAlignment="1">
      <alignment horizontal="center" vertical="center" wrapText="1"/>
    </xf>
    <xf numFmtId="0" fontId="2" fillId="12" borderId="7" xfId="0" applyFont="1" applyFill="1" applyBorder="1" applyAlignment="1">
      <alignment horizontal="center" vertical="center" wrapText="1"/>
    </xf>
    <xf numFmtId="0" fontId="12" fillId="0" borderId="29" xfId="0" applyFont="1" applyBorder="1" applyAlignment="1">
      <alignment horizontal="left" vertical="top" wrapText="1"/>
    </xf>
    <xf numFmtId="0" fontId="13" fillId="0" borderId="30" xfId="0" applyFont="1" applyBorder="1" applyAlignment="1">
      <alignment horizontal="left" vertical="top" wrapText="1"/>
    </xf>
    <xf numFmtId="0" fontId="12" fillId="0" borderId="25" xfId="0" applyFont="1" applyBorder="1" applyAlignment="1">
      <alignment vertical="top" wrapText="1"/>
    </xf>
    <xf numFmtId="0" fontId="12" fillId="0" borderId="26" xfId="0" applyFont="1" applyBorder="1" applyAlignment="1">
      <alignment vertical="top" wrapText="1"/>
    </xf>
    <xf numFmtId="0" fontId="12" fillId="0" borderId="25" xfId="0" applyFont="1" applyBorder="1" applyAlignment="1">
      <alignment horizontal="left" vertical="top" wrapText="1"/>
    </xf>
    <xf numFmtId="0" fontId="25" fillId="0" borderId="25" xfId="0" applyFont="1" applyBorder="1" applyAlignment="1">
      <alignment horizontal="left" vertical="top" wrapText="1"/>
    </xf>
    <xf numFmtId="0" fontId="2" fillId="2" borderId="27" xfId="0" applyFont="1" applyFill="1" applyBorder="1" applyAlignment="1">
      <alignment horizontal="left" vertical="center"/>
    </xf>
    <xf numFmtId="0" fontId="2" fillId="2" borderId="28" xfId="0" applyFont="1" applyFill="1" applyBorder="1" applyAlignment="1">
      <alignment horizontal="left" vertical="center"/>
    </xf>
    <xf numFmtId="0" fontId="27" fillId="0" borderId="25" xfId="0" applyFont="1" applyBorder="1" applyAlignment="1">
      <alignment horizontal="left" vertical="top" wrapText="1"/>
    </xf>
    <xf numFmtId="0" fontId="13" fillId="0" borderId="36" xfId="0" applyFont="1" applyBorder="1" applyAlignment="1">
      <alignment horizontal="left" vertical="top" wrapText="1"/>
    </xf>
    <xf numFmtId="0" fontId="13" fillId="0" borderId="37" xfId="0" applyFont="1" applyBorder="1" applyAlignment="1">
      <alignment horizontal="left" vertical="top" wrapText="1"/>
    </xf>
    <xf numFmtId="0" fontId="0" fillId="0" borderId="1" xfId="0" applyBorder="1" applyAlignment="1">
      <alignment horizontal="center" vertical="top" wrapText="1"/>
    </xf>
    <xf numFmtId="0" fontId="12" fillId="2" borderId="23" xfId="0" applyFont="1" applyFill="1" applyBorder="1" applyAlignment="1">
      <alignment horizontal="center" vertical="center" wrapText="1"/>
    </xf>
    <xf numFmtId="0" fontId="12" fillId="2" borderId="31" xfId="0" applyFont="1" applyFill="1" applyBorder="1" applyAlignment="1">
      <alignment horizontal="center" vertical="center" wrapText="1"/>
    </xf>
  </cellXfs>
  <cellStyles count="2">
    <cellStyle name="Normal" xfId="0" builtinId="0"/>
    <cellStyle name="Percent" xfId="1" builtinId="5"/>
  </cellStyles>
  <dxfs count="120">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13" formatCode="0%"/>
      <fill>
        <patternFill patternType="solid">
          <fgColor indexed="64"/>
          <bgColor theme="0" tint="-0.49998474074526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4"/>
        <color auto="1"/>
        <name val="Calibri"/>
        <family val="2"/>
        <scheme val="minor"/>
      </font>
      <fill>
        <patternFill patternType="solid">
          <fgColor indexed="64"/>
          <bgColor theme="0" tint="-0.49998474074526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13" formatCode="0%"/>
      <fill>
        <patternFill patternType="solid">
          <fgColor indexed="64"/>
          <bgColor theme="0" tint="-0.49998474074526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4"/>
        <color auto="1"/>
        <name val="Calibri"/>
        <family val="2"/>
        <scheme val="minor"/>
      </font>
      <fill>
        <patternFill patternType="solid">
          <fgColor indexed="64"/>
          <bgColor theme="0" tint="-0.49998474074526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left/>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13" formatCode="0%"/>
      <fill>
        <patternFill patternType="solid">
          <fgColor indexed="64"/>
          <bgColor theme="0" tint="-0.49998474074526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4"/>
        <color auto="1"/>
        <name val="Calibri"/>
        <family val="2"/>
        <scheme val="minor"/>
      </font>
      <fill>
        <patternFill patternType="solid">
          <fgColor indexed="64"/>
          <bgColor theme="0" tint="-0.49998474074526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auto="1"/>
        <name val="Calibri"/>
        <family val="2"/>
        <scheme val="minor"/>
      </font>
      <numFmt numFmtId="13" formatCode="0%"/>
      <fill>
        <patternFill patternType="solid">
          <fgColor indexed="64"/>
          <bgColor theme="0" tint="-0.49998474074526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4"/>
        <color auto="1"/>
        <name val="Calibri"/>
        <family val="2"/>
        <scheme val="minor"/>
      </font>
      <fill>
        <patternFill patternType="solid">
          <fgColor indexed="64"/>
          <bgColor theme="0" tint="-0.49998474074526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auto="1"/>
        <name val="Calibri"/>
        <family val="2"/>
        <scheme val="minor"/>
      </font>
      <numFmt numFmtId="13" formatCode="0%"/>
      <fill>
        <patternFill patternType="solid">
          <fgColor indexed="64"/>
          <bgColor theme="0" tint="-0.49998474074526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4"/>
        <color auto="1"/>
        <name val="Calibri"/>
        <family val="2"/>
        <scheme val="minor"/>
      </font>
      <fill>
        <patternFill patternType="solid">
          <fgColor indexed="64"/>
          <bgColor theme="0" tint="-0.49998474074526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auto="1"/>
        <name val="Calibri"/>
        <family val="2"/>
        <scheme val="minor"/>
      </font>
      <numFmt numFmtId="13" formatCode="0%"/>
      <fill>
        <patternFill patternType="solid">
          <fgColor indexed="64"/>
          <bgColor theme="0" tint="-0.49998474074526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4"/>
        <color auto="1"/>
        <name val="Calibri"/>
        <family val="2"/>
        <scheme val="minor"/>
      </font>
      <fill>
        <patternFill patternType="solid">
          <fgColor indexed="64"/>
          <bgColor theme="0" tint="-0.49998474074526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border outline="0">
        <left style="thin">
          <color rgb="FF000000"/>
        </left>
        <right style="thin">
          <color rgb="FF000000"/>
        </right>
        <top style="thin">
          <color indexed="64"/>
        </top>
        <bottom style="thin">
          <color rgb="FF000000"/>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13" formatCode="0%"/>
      <fill>
        <patternFill patternType="solid">
          <fgColor indexed="64"/>
          <bgColor theme="0" tint="-0.49998474074526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4"/>
        <color auto="1"/>
        <name val="Calibri"/>
        <family val="2"/>
        <scheme val="minor"/>
      </font>
      <fill>
        <patternFill patternType="solid">
          <fgColor indexed="64"/>
          <bgColor theme="0" tint="-0.49998474074526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13" formatCode="0%"/>
      <fill>
        <patternFill patternType="solid">
          <fgColor indexed="64"/>
          <bgColor theme="0" tint="-0.49998474074526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4"/>
        <color auto="1"/>
        <name val="Calibri"/>
        <family val="2"/>
        <scheme val="minor"/>
      </font>
      <fill>
        <patternFill patternType="solid">
          <fgColor indexed="64"/>
          <bgColor theme="0" tint="-0.49998474074526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left/>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13" formatCode="0%"/>
      <fill>
        <patternFill patternType="solid">
          <fgColor indexed="64"/>
          <bgColor theme="0" tint="-0.49998474074526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4"/>
        <color auto="1"/>
        <name val="Calibri"/>
        <family val="2"/>
        <scheme val="minor"/>
      </font>
      <fill>
        <patternFill patternType="solid">
          <fgColor indexed="64"/>
          <bgColor theme="0" tint="-0.49998474074526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auto="1"/>
        <name val="Calibri"/>
        <family val="2"/>
        <scheme val="minor"/>
      </font>
      <numFmt numFmtId="13" formatCode="0%"/>
      <fill>
        <patternFill patternType="solid">
          <fgColor indexed="64"/>
          <bgColor theme="0" tint="-0.49998474074526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4"/>
        <color auto="1"/>
        <name val="Calibri"/>
        <family val="2"/>
        <scheme val="minor"/>
      </font>
      <fill>
        <patternFill patternType="solid">
          <fgColor indexed="64"/>
          <bgColor theme="0" tint="-0.49998474074526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auto="1"/>
        <name val="Calibri"/>
        <family val="2"/>
        <scheme val="minor"/>
      </font>
      <numFmt numFmtId="13" formatCode="0%"/>
      <fill>
        <patternFill patternType="solid">
          <fgColor indexed="64"/>
          <bgColor theme="0" tint="-0.49998474074526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4"/>
        <color auto="1"/>
        <name val="Calibri"/>
        <family val="2"/>
        <scheme val="minor"/>
      </font>
      <fill>
        <patternFill patternType="solid">
          <fgColor indexed="64"/>
          <bgColor theme="0" tint="-0.49998474074526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auto="1"/>
        <name val="Calibri"/>
        <family val="2"/>
        <scheme val="minor"/>
      </font>
      <numFmt numFmtId="13" formatCode="0%"/>
      <fill>
        <patternFill patternType="solid">
          <fgColor indexed="64"/>
          <bgColor theme="0" tint="-0.49998474074526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4"/>
        <color auto="1"/>
        <name val="Calibri"/>
        <family val="2"/>
        <scheme val="minor"/>
      </font>
      <fill>
        <patternFill patternType="solid">
          <fgColor indexed="64"/>
          <bgColor theme="0" tint="-0.49998474074526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auto="1"/>
        <name val="Calibri"/>
        <family val="2"/>
        <scheme val="none"/>
      </font>
      <fill>
        <patternFill patternType="solid">
          <fgColor rgb="FF000000"/>
          <bgColor rgb="FFFFFFFF"/>
        </patternFill>
      </fill>
      <alignment horizontal="center" vertical="center" textRotation="0" wrapText="1" indent="0" justifyLastLine="0" shrinkToFit="0" readingOrder="0"/>
      <protection locked="0" hidden="0"/>
    </dxf>
  </dxfs>
  <tableStyles count="0" defaultTableStyle="TableStyleMedium2" defaultPivotStyle="PivotStyleLight16"/>
  <colors>
    <mruColors>
      <color rgb="FFC0504D"/>
      <color rgb="FFCB6C1D"/>
      <color rgb="FF49F01F"/>
      <color rgb="FFB145F5"/>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CORE Indicators</a:t>
            </a:r>
            <a:r>
              <a:rPr lang="en-US" baseline="0"/>
              <a:t> - Fall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7336719568762041"/>
          <c:y val="0.14631163708086786"/>
          <c:w val="0.68786444219789855"/>
          <c:h val="0.76217645871189177"/>
        </c:manualLayout>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1-9FF4-4E82-9ABD-5503BA5DC5C9}"/>
              </c:ext>
            </c:extLst>
          </c:dPt>
          <c:dPt>
            <c:idx val="1"/>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3-9FF4-4E82-9ABD-5503BA5DC5C9}"/>
              </c:ext>
            </c:extLst>
          </c:dPt>
          <c:dPt>
            <c:idx val="2"/>
            <c:invertIfNegative val="0"/>
            <c:bubble3D val="0"/>
            <c:spPr>
              <a:solidFill>
                <a:srgbClr val="FFC000"/>
              </a:solidFill>
              <a:ln>
                <a:noFill/>
              </a:ln>
              <a:effectLst/>
            </c:spPr>
            <c:extLst>
              <c:ext xmlns:c16="http://schemas.microsoft.com/office/drawing/2014/chart" uri="{C3380CC4-5D6E-409C-BE32-E72D297353CC}">
                <c16:uniqueId val="{00000005-9FF4-4E82-9ABD-5503BA5DC5C9}"/>
              </c:ext>
            </c:extLst>
          </c:dPt>
          <c:dPt>
            <c:idx val="3"/>
            <c:invertIfNegative val="0"/>
            <c:bubble3D val="0"/>
            <c:spPr>
              <a:solidFill>
                <a:srgbClr val="92D050"/>
              </a:solidFill>
              <a:ln>
                <a:noFill/>
              </a:ln>
              <a:effectLst/>
            </c:spPr>
            <c:extLst>
              <c:ext xmlns:c16="http://schemas.microsoft.com/office/drawing/2014/chart" uri="{C3380CC4-5D6E-409C-BE32-E72D297353CC}">
                <c16:uniqueId val="{00000007-9FF4-4E82-9ABD-5503BA5DC5C9}"/>
              </c:ext>
            </c:extLst>
          </c:dPt>
          <c:dPt>
            <c:idx val="4"/>
            <c:invertIfNegative val="0"/>
            <c:bubble3D val="0"/>
            <c:spPr>
              <a:solidFill>
                <a:srgbClr val="FFFF00"/>
              </a:solidFill>
              <a:ln>
                <a:noFill/>
              </a:ln>
              <a:effectLst/>
            </c:spPr>
            <c:extLst>
              <c:ext xmlns:c16="http://schemas.microsoft.com/office/drawing/2014/chart" uri="{C3380CC4-5D6E-409C-BE32-E72D297353CC}">
                <c16:uniqueId val="{00000009-9FF4-4E82-9ABD-5503BA5DC5C9}"/>
              </c:ext>
            </c:extLst>
          </c:dPt>
          <c:dPt>
            <c:idx val="5"/>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B-9FF4-4E82-9ABD-5503BA5DC5C9}"/>
              </c:ext>
            </c:extLst>
          </c:dPt>
          <c:dPt>
            <c:idx val="6"/>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D-9FF4-4E82-9ABD-5503BA5DC5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'Fall - Data'!$B$8:$H$8</c:f>
              <c:strCache>
                <c:ptCount val="7"/>
                <c:pt idx="0">
                  <c:v>Classroom Environment 
(#of indicators = 0-4)</c:v>
                </c:pt>
                <c:pt idx="1">
                  <c:v>Learning Expectations 
(# of Indicators = 0-6)</c:v>
                </c:pt>
                <c:pt idx="2">
                  <c:v>Student Thinking, Problem Solving, Voice 
(# of Indicators = 0-5)</c:v>
                </c:pt>
                <c:pt idx="3">
                  <c:v>Engaging Students in Learning 
(# of Indicators = 0-6)</c:v>
                </c:pt>
                <c:pt idx="4">
                  <c:v>Assessment in Instruction 
(# of Indicators = 0-4)</c:v>
                </c:pt>
                <c:pt idx="5">
                  <c:v>Flexibility and Responsiveness
(# of Indicators = 0-5)</c:v>
                </c:pt>
                <c:pt idx="6">
                  <c:v>Integrity of Core Curriculum 
(# of Indicators = 0-3)</c:v>
                </c:pt>
              </c:strCache>
            </c:strRef>
          </c:cat>
          <c:val>
            <c:numRef>
              <c:f>'Fall - Data'!$B$43:$H$43</c:f>
              <c:numCache>
                <c:formatCode>0%</c:formatCode>
                <c:ptCount val="7"/>
                <c:pt idx="0">
                  <c:v>0.9</c:v>
                </c:pt>
                <c:pt idx="1">
                  <c:v>0.83333333333333337</c:v>
                </c:pt>
                <c:pt idx="2">
                  <c:v>0.55999999999999994</c:v>
                </c:pt>
                <c:pt idx="3">
                  <c:v>0.71666666666666667</c:v>
                </c:pt>
                <c:pt idx="4">
                  <c:v>0.6</c:v>
                </c:pt>
                <c:pt idx="5">
                  <c:v>0.62</c:v>
                </c:pt>
                <c:pt idx="6">
                  <c:v>0.93333333333333324</c:v>
                </c:pt>
              </c:numCache>
            </c:numRef>
          </c:val>
          <c:extLst>
            <c:ext xmlns:c16="http://schemas.microsoft.com/office/drawing/2014/chart" uri="{C3380CC4-5D6E-409C-BE32-E72D297353CC}">
              <c16:uniqueId val="{0000000E-9FF4-4E82-9ABD-5503BA5DC5C9}"/>
            </c:ext>
          </c:extLst>
        </c:ser>
        <c:dLbls>
          <c:dLblPos val="outEnd"/>
          <c:showLegendKey val="0"/>
          <c:showVal val="1"/>
          <c:showCatName val="0"/>
          <c:showSerName val="0"/>
          <c:showPercent val="0"/>
          <c:showBubbleSize val="0"/>
        </c:dLbls>
        <c:gapWidth val="182"/>
        <c:axId val="1560789375"/>
        <c:axId val="1560778815"/>
      </c:barChart>
      <c:catAx>
        <c:axId val="1560789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778815"/>
        <c:crosses val="autoZero"/>
        <c:auto val="1"/>
        <c:lblAlgn val="ctr"/>
        <c:lblOffset val="100"/>
        <c:noMultiLvlLbl val="0"/>
      </c:catAx>
      <c:valAx>
        <c:axId val="1560778815"/>
        <c:scaling>
          <c:orientation val="minMax"/>
          <c:max val="1"/>
          <c:min val="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7893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CORE Indicators</a:t>
            </a:r>
            <a:r>
              <a:rPr lang="en-US" baseline="0"/>
              <a:t> - Fall 2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1-71C5-436B-ACB6-06C49A05584B}"/>
              </c:ext>
            </c:extLst>
          </c:dPt>
          <c:dPt>
            <c:idx val="1"/>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3-71C5-436B-ACB6-06C49A05584B}"/>
              </c:ext>
            </c:extLst>
          </c:dPt>
          <c:dPt>
            <c:idx val="2"/>
            <c:invertIfNegative val="0"/>
            <c:bubble3D val="0"/>
            <c:spPr>
              <a:solidFill>
                <a:srgbClr val="FFC000"/>
              </a:solidFill>
              <a:ln>
                <a:noFill/>
              </a:ln>
              <a:effectLst/>
            </c:spPr>
            <c:extLst>
              <c:ext xmlns:c16="http://schemas.microsoft.com/office/drawing/2014/chart" uri="{C3380CC4-5D6E-409C-BE32-E72D297353CC}">
                <c16:uniqueId val="{00000005-71C5-436B-ACB6-06C49A05584B}"/>
              </c:ext>
            </c:extLst>
          </c:dPt>
          <c:dPt>
            <c:idx val="3"/>
            <c:invertIfNegative val="0"/>
            <c:bubble3D val="0"/>
            <c:spPr>
              <a:solidFill>
                <a:srgbClr val="92D050"/>
              </a:solidFill>
              <a:ln>
                <a:noFill/>
              </a:ln>
              <a:effectLst/>
            </c:spPr>
            <c:extLst>
              <c:ext xmlns:c16="http://schemas.microsoft.com/office/drawing/2014/chart" uri="{C3380CC4-5D6E-409C-BE32-E72D297353CC}">
                <c16:uniqueId val="{00000007-71C5-436B-ACB6-06C49A05584B}"/>
              </c:ext>
            </c:extLst>
          </c:dPt>
          <c:dPt>
            <c:idx val="4"/>
            <c:invertIfNegative val="0"/>
            <c:bubble3D val="0"/>
            <c:spPr>
              <a:solidFill>
                <a:srgbClr val="FFFF00"/>
              </a:solidFill>
              <a:ln>
                <a:noFill/>
              </a:ln>
              <a:effectLst/>
            </c:spPr>
            <c:extLst>
              <c:ext xmlns:c16="http://schemas.microsoft.com/office/drawing/2014/chart" uri="{C3380CC4-5D6E-409C-BE32-E72D297353CC}">
                <c16:uniqueId val="{00000009-71C5-436B-ACB6-06C49A05584B}"/>
              </c:ext>
            </c:extLst>
          </c:dPt>
          <c:dPt>
            <c:idx val="5"/>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B-71C5-436B-ACB6-06C49A05584B}"/>
              </c:ext>
            </c:extLst>
          </c:dPt>
          <c:dPt>
            <c:idx val="6"/>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D-71C5-436B-ACB6-06C49A0558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'Fall 2 - Data '!$B$8:$H$8</c:f>
              <c:strCache>
                <c:ptCount val="7"/>
                <c:pt idx="0">
                  <c:v>Classroom Environment 
(#of indicators = 0-4)</c:v>
                </c:pt>
                <c:pt idx="1">
                  <c:v>Learning Expectations 
(# of Indicators = 0-6)</c:v>
                </c:pt>
                <c:pt idx="2">
                  <c:v>Student Thinking, Problem Solving, Voice 
(# of Indicators = 0-5)</c:v>
                </c:pt>
                <c:pt idx="3">
                  <c:v>Engaging Students in Learning 
(# of Indicators = 0-6)</c:v>
                </c:pt>
                <c:pt idx="4">
                  <c:v>Assessment in Instruction 
(# of Indicators = 0-4)</c:v>
                </c:pt>
                <c:pt idx="5">
                  <c:v>Flexibility and Responsiveness
(# of Indicators = 0-5)</c:v>
                </c:pt>
                <c:pt idx="6">
                  <c:v>Integrity of Core Curriculum 
(# of Indicators = 0-3)</c:v>
                </c:pt>
              </c:strCache>
            </c:strRef>
          </c:cat>
          <c:val>
            <c:numRef>
              <c:f>'Fall 2 - Data '!$B$43:$H$43</c:f>
              <c:numCache>
                <c:formatCode>0%</c:formatCode>
                <c:ptCount val="7"/>
                <c:pt idx="0">
                  <c:v>1.95</c:v>
                </c:pt>
                <c:pt idx="1">
                  <c:v>0.54999999999999993</c:v>
                </c:pt>
                <c:pt idx="2">
                  <c:v>0.52</c:v>
                </c:pt>
                <c:pt idx="3">
                  <c:v>0.51428571428571435</c:v>
                </c:pt>
                <c:pt idx="4">
                  <c:v>0.52500000000000002</c:v>
                </c:pt>
                <c:pt idx="5">
                  <c:v>0.64</c:v>
                </c:pt>
                <c:pt idx="6">
                  <c:v>0.56666666666666665</c:v>
                </c:pt>
              </c:numCache>
            </c:numRef>
          </c:val>
          <c:extLst>
            <c:ext xmlns:c16="http://schemas.microsoft.com/office/drawing/2014/chart" uri="{C3380CC4-5D6E-409C-BE32-E72D297353CC}">
              <c16:uniqueId val="{0000000E-71C5-436B-ACB6-06C49A05584B}"/>
            </c:ext>
          </c:extLst>
        </c:ser>
        <c:dLbls>
          <c:dLblPos val="outEnd"/>
          <c:showLegendKey val="0"/>
          <c:showVal val="1"/>
          <c:showCatName val="0"/>
          <c:showSerName val="0"/>
          <c:showPercent val="0"/>
          <c:showBubbleSize val="0"/>
        </c:dLbls>
        <c:gapWidth val="182"/>
        <c:axId val="1560789375"/>
        <c:axId val="1560778815"/>
      </c:barChart>
      <c:catAx>
        <c:axId val="1560789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778815"/>
        <c:crosses val="autoZero"/>
        <c:auto val="1"/>
        <c:lblAlgn val="ctr"/>
        <c:lblOffset val="100"/>
        <c:noMultiLvlLbl val="0"/>
      </c:catAx>
      <c:valAx>
        <c:axId val="1560778815"/>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7893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Fall to Spring Change - CORE Indicators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Charts!$AF$24</c:f>
              <c:strCache>
                <c:ptCount val="1"/>
                <c:pt idx="0">
                  <c:v>Fall</c:v>
                </c:pt>
              </c:strCache>
            </c:strRef>
          </c:tx>
          <c:spPr>
            <a:solidFill>
              <a:schemeClr val="accent6"/>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Charts!$AE$25:$AE$31</c:f>
              <c:strCache>
                <c:ptCount val="7"/>
                <c:pt idx="0">
                  <c:v>Classroom Environment</c:v>
                </c:pt>
                <c:pt idx="1">
                  <c:v>Learning Expectations</c:v>
                </c:pt>
                <c:pt idx="2">
                  <c:v>Student Thinking, Problem Solving, Voice</c:v>
                </c:pt>
                <c:pt idx="3">
                  <c:v>Engaging Students in Learning</c:v>
                </c:pt>
                <c:pt idx="4">
                  <c:v>Assessment in Instruction</c:v>
                </c:pt>
                <c:pt idx="5">
                  <c:v>Flexibility and Responsiveness</c:v>
                </c:pt>
                <c:pt idx="6">
                  <c:v>Integrity of Core Curriculum</c:v>
                </c:pt>
              </c:strCache>
            </c:strRef>
          </c:cat>
          <c:val>
            <c:numRef>
              <c:f>Charts!$AF$25:$AF$31</c:f>
              <c:numCache>
                <c:formatCode>0.00%</c:formatCode>
                <c:ptCount val="7"/>
                <c:pt idx="0" formatCode="0%">
                  <c:v>0.9</c:v>
                </c:pt>
                <c:pt idx="1">
                  <c:v>0.83333333333333337</c:v>
                </c:pt>
                <c:pt idx="2">
                  <c:v>0.55999999999999994</c:v>
                </c:pt>
                <c:pt idx="3">
                  <c:v>0.71666666666666667</c:v>
                </c:pt>
                <c:pt idx="4">
                  <c:v>0.6</c:v>
                </c:pt>
                <c:pt idx="5">
                  <c:v>0.62</c:v>
                </c:pt>
                <c:pt idx="6" formatCode="0%">
                  <c:v>0.93333333333333324</c:v>
                </c:pt>
              </c:numCache>
            </c:numRef>
          </c:val>
          <c:extLst>
            <c:ext xmlns:c16="http://schemas.microsoft.com/office/drawing/2014/chart" uri="{C3380CC4-5D6E-409C-BE32-E72D297353CC}">
              <c16:uniqueId val="{00000000-CF9A-4533-95CD-CEA4DDACCD01}"/>
            </c:ext>
          </c:extLst>
        </c:ser>
        <c:ser>
          <c:idx val="1"/>
          <c:order val="1"/>
          <c:tx>
            <c:strRef>
              <c:f>Charts!$AG$24</c:f>
              <c:strCache>
                <c:ptCount val="1"/>
                <c:pt idx="0">
                  <c:v>Spring</c:v>
                </c:pt>
              </c:strCache>
            </c:strRef>
          </c:tx>
          <c:spPr>
            <a:solidFill>
              <a:schemeClr val="accent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Charts!$AE$25:$AE$31</c:f>
              <c:strCache>
                <c:ptCount val="7"/>
                <c:pt idx="0">
                  <c:v>Classroom Environment</c:v>
                </c:pt>
                <c:pt idx="1">
                  <c:v>Learning Expectations</c:v>
                </c:pt>
                <c:pt idx="2">
                  <c:v>Student Thinking, Problem Solving, Voice</c:v>
                </c:pt>
                <c:pt idx="3">
                  <c:v>Engaging Students in Learning</c:v>
                </c:pt>
                <c:pt idx="4">
                  <c:v>Assessment in Instruction</c:v>
                </c:pt>
                <c:pt idx="5">
                  <c:v>Flexibility and Responsiveness</c:v>
                </c:pt>
                <c:pt idx="6">
                  <c:v>Integrity of Core Curriculum</c:v>
                </c:pt>
              </c:strCache>
            </c:strRef>
          </c:cat>
          <c:val>
            <c:numRef>
              <c:f>Charts!$AG$25:$AG$31</c:f>
              <c:numCache>
                <c:formatCode>0.00%</c:formatCode>
                <c:ptCount val="7"/>
                <c:pt idx="0">
                  <c:v>1.95</c:v>
                </c:pt>
                <c:pt idx="1">
                  <c:v>0.54999999999999993</c:v>
                </c:pt>
                <c:pt idx="2">
                  <c:v>0.52</c:v>
                </c:pt>
                <c:pt idx="3">
                  <c:v>0.51428571428571435</c:v>
                </c:pt>
                <c:pt idx="4">
                  <c:v>0.52500000000000002</c:v>
                </c:pt>
                <c:pt idx="5">
                  <c:v>0.64</c:v>
                </c:pt>
                <c:pt idx="6">
                  <c:v>0.56666666666666665</c:v>
                </c:pt>
              </c:numCache>
            </c:numRef>
          </c:val>
          <c:extLst>
            <c:ext xmlns:c16="http://schemas.microsoft.com/office/drawing/2014/chart" uri="{C3380CC4-5D6E-409C-BE32-E72D297353CC}">
              <c16:uniqueId val="{00000001-CF9A-4533-95CD-CEA4DDACCD01}"/>
            </c:ext>
          </c:extLst>
        </c:ser>
        <c:dLbls>
          <c:dLblPos val="outEnd"/>
          <c:showLegendKey val="0"/>
          <c:showVal val="1"/>
          <c:showCatName val="0"/>
          <c:showSerName val="0"/>
          <c:showPercent val="0"/>
          <c:showBubbleSize val="0"/>
        </c:dLbls>
        <c:gapWidth val="182"/>
        <c:axId val="1288436320"/>
        <c:axId val="1288419520"/>
      </c:barChart>
      <c:catAx>
        <c:axId val="128843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419520"/>
        <c:crosses val="autoZero"/>
        <c:auto val="1"/>
        <c:lblAlgn val="ctr"/>
        <c:lblOffset val="100"/>
        <c:noMultiLvlLbl val="0"/>
      </c:catAx>
      <c:valAx>
        <c:axId val="1288419520"/>
        <c:scaling>
          <c:orientation val="minMax"/>
          <c:max val="1"/>
          <c:min val="0"/>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436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400050</xdr:colOff>
      <xdr:row>7</xdr:row>
      <xdr:rowOff>114300</xdr:rowOff>
    </xdr:from>
    <xdr:to>
      <xdr:col>10</xdr:col>
      <xdr:colOff>457200</xdr:colOff>
      <xdr:row>23</xdr:row>
      <xdr:rowOff>139065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714500" y="1447800"/>
          <a:ext cx="5972175" cy="3120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100"/>
        </a:p>
        <a:p>
          <a:pPr algn="ctr"/>
          <a:endParaRPr lang="en-US" sz="1100"/>
        </a:p>
        <a:p>
          <a:pPr algn="ctr"/>
          <a:endParaRPr lang="en-US" sz="1100"/>
        </a:p>
        <a:p>
          <a:pPr algn="ctr"/>
          <a:endParaRPr lang="en-US" sz="1100"/>
        </a:p>
        <a:p>
          <a:pPr algn="ctr"/>
          <a:endParaRPr lang="en-US" sz="1100"/>
        </a:p>
        <a:p>
          <a:pPr algn="ctr"/>
          <a:endParaRPr lang="en-US" sz="1100"/>
        </a:p>
        <a:p>
          <a:pPr algn="ctr"/>
          <a:endParaRPr lang="en-US" sz="1100"/>
        </a:p>
        <a:p>
          <a:pPr marL="0" marR="0" algn="ctr">
            <a:spcBef>
              <a:spcPts val="0"/>
            </a:spcBef>
            <a:spcAft>
              <a:spcPts val="0"/>
            </a:spcAft>
          </a:pPr>
          <a:r>
            <a:rPr lang="en-US" sz="2800">
              <a:effectLst/>
              <a:latin typeface="+mj-lt"/>
              <a:ea typeface="Times New Roman"/>
              <a:cs typeface="Times New Roman"/>
            </a:rPr>
            <a:t>Classroom Walkthrough Instrument</a:t>
          </a:r>
          <a:endParaRPr lang="en-US" sz="2800">
            <a:effectLst/>
            <a:latin typeface="+mj-lt"/>
            <a:ea typeface="Calibri"/>
            <a:cs typeface="Times New Roman"/>
          </a:endParaRPr>
        </a:p>
        <a:p>
          <a:pPr marL="0" marR="0" algn="ctr">
            <a:lnSpc>
              <a:spcPts val="3700"/>
            </a:lnSpc>
            <a:spcBef>
              <a:spcPts val="0"/>
            </a:spcBef>
            <a:spcAft>
              <a:spcPts val="0"/>
            </a:spcAft>
          </a:pPr>
          <a:endParaRPr lang="en-US" sz="2800" b="0" i="1" baseline="0">
            <a:solidFill>
              <a:schemeClr val="tx1"/>
            </a:solidFill>
            <a:effectLst/>
            <a:latin typeface="+mj-lt"/>
            <a:ea typeface="Times New Roman"/>
            <a:cs typeface="Times New Roman"/>
          </a:endParaRPr>
        </a:p>
        <a:p>
          <a:pPr marL="0" marR="0" algn="ctr">
            <a:lnSpc>
              <a:spcPts val="3700"/>
            </a:lnSpc>
            <a:spcBef>
              <a:spcPts val="0"/>
            </a:spcBef>
            <a:spcAft>
              <a:spcPts val="0"/>
            </a:spcAft>
          </a:pPr>
          <a:r>
            <a:rPr lang="en-US" sz="2800" b="0" i="1" baseline="0">
              <a:solidFill>
                <a:schemeClr val="tx1"/>
              </a:solidFill>
              <a:effectLst/>
              <a:latin typeface="+mj-lt"/>
              <a:ea typeface="Times New Roman"/>
              <a:cs typeface="Times New Roman"/>
            </a:rPr>
            <a:t>Team Site Visits</a:t>
          </a:r>
          <a:endParaRPr lang="en-US" sz="2800" b="0">
            <a:solidFill>
              <a:schemeClr val="tx1"/>
            </a:solidFill>
            <a:effectLst/>
            <a:latin typeface="+mj-lt"/>
            <a:ea typeface="Calibri"/>
            <a:cs typeface="Times New Roman"/>
          </a:endParaRPr>
        </a:p>
        <a:p>
          <a:pPr marL="0" marR="0" algn="ctr">
            <a:spcBef>
              <a:spcPts val="0"/>
            </a:spcBef>
            <a:spcAft>
              <a:spcPts val="0"/>
            </a:spcAft>
          </a:pPr>
          <a:endParaRPr lang="en-US" sz="800" b="1">
            <a:effectLst/>
            <a:latin typeface="+mn-lt"/>
            <a:ea typeface="Calibri"/>
            <a:cs typeface="Times New Roman"/>
          </a:endParaRPr>
        </a:p>
        <a:p>
          <a:pPr marL="0" marR="0" algn="ctr">
            <a:spcBef>
              <a:spcPts val="0"/>
            </a:spcBef>
            <a:spcAft>
              <a:spcPts val="0"/>
            </a:spcAft>
          </a:pPr>
          <a:endParaRPr lang="en-US" sz="800" b="1">
            <a:effectLst/>
            <a:latin typeface="+mn-lt"/>
            <a:ea typeface="Calibri"/>
            <a:cs typeface="Times New Roman"/>
          </a:endParaRPr>
        </a:p>
        <a:p>
          <a:pPr algn="ctr"/>
          <a:endParaRPr lang="en-US" sz="1100"/>
        </a:p>
        <a:p>
          <a:pPr algn="ctr"/>
          <a:endParaRPr lang="en-US" sz="1100"/>
        </a:p>
        <a:p>
          <a:pPr algn="ctr"/>
          <a:r>
            <a:rPr lang="en-US" sz="1100"/>
            <a:t>				</a:t>
          </a:r>
        </a:p>
        <a:p>
          <a:pPr algn="ctr"/>
          <a:endParaRPr lang="en-US" sz="1100"/>
        </a:p>
        <a:p>
          <a:pPr algn="ctr">
            <a:lnSpc>
              <a:spcPts val="1100"/>
            </a:lnSpc>
          </a:pPr>
          <a:endParaRPr lang="en-US" sz="1100"/>
        </a:p>
      </xdr:txBody>
    </xdr:sp>
    <xdr:clientData/>
  </xdr:twoCellAnchor>
  <xdr:twoCellAnchor editAs="oneCell">
    <xdr:from>
      <xdr:col>3</xdr:col>
      <xdr:colOff>28575</xdr:colOff>
      <xdr:row>4</xdr:row>
      <xdr:rowOff>9524</xdr:rowOff>
    </xdr:from>
    <xdr:to>
      <xdr:col>8</xdr:col>
      <xdr:colOff>510826</xdr:colOff>
      <xdr:row>6</xdr:row>
      <xdr:rowOff>171449</xdr:rowOff>
    </xdr:to>
    <xdr:pic>
      <xdr:nvPicPr>
        <xdr:cNvPr id="4" name="Picture 3" descr="A picture containing text, font, black, screenshot&#10;&#10;Description automatically generated">
          <a:extLst>
            <a:ext uri="{FF2B5EF4-FFF2-40B4-BE49-F238E27FC236}">
              <a16:creationId xmlns:a16="http://schemas.microsoft.com/office/drawing/2014/main" id="{4233E703-413C-B066-1B49-CF4FE334B3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57475" y="771524"/>
          <a:ext cx="3768376" cy="5429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247651</xdr:colOff>
      <xdr:row>1</xdr:row>
      <xdr:rowOff>38101</xdr:rowOff>
    </xdr:from>
    <xdr:to>
      <xdr:col>12</xdr:col>
      <xdr:colOff>485775</xdr:colOff>
      <xdr:row>18</xdr:row>
      <xdr:rowOff>19051</xdr:rowOff>
    </xdr:to>
    <xdr:graphicFrame macro="">
      <xdr:nvGraphicFramePr>
        <xdr:cNvPr id="4" name="Chart 3">
          <a:extLst>
            <a:ext uri="{FF2B5EF4-FFF2-40B4-BE49-F238E27FC236}">
              <a16:creationId xmlns:a16="http://schemas.microsoft.com/office/drawing/2014/main" id="{FA647654-DDCB-4F5B-95C4-4C22359B5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180975</xdr:colOff>
      <xdr:row>1</xdr:row>
      <xdr:rowOff>38101</xdr:rowOff>
    </xdr:from>
    <xdr:to>
      <xdr:col>25</xdr:col>
      <xdr:colOff>342901</xdr:colOff>
      <xdr:row>18</xdr:row>
      <xdr:rowOff>19051</xdr:rowOff>
    </xdr:to>
    <xdr:graphicFrame macro="">
      <xdr:nvGraphicFramePr>
        <xdr:cNvPr id="5" name="Chart 4">
          <a:extLst>
            <a:ext uri="{FF2B5EF4-FFF2-40B4-BE49-F238E27FC236}">
              <a16:creationId xmlns:a16="http://schemas.microsoft.com/office/drawing/2014/main" id="{51C6451A-A145-4042-B885-06A29DD19E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0</xdr:colOff>
      <xdr:row>1</xdr:row>
      <xdr:rowOff>185736</xdr:rowOff>
    </xdr:from>
    <xdr:to>
      <xdr:col>36</xdr:col>
      <xdr:colOff>19049</xdr:colOff>
      <xdr:row>21</xdr:row>
      <xdr:rowOff>133349</xdr:rowOff>
    </xdr:to>
    <xdr:graphicFrame macro="">
      <xdr:nvGraphicFramePr>
        <xdr:cNvPr id="7" name="Chart 6">
          <a:extLst>
            <a:ext uri="{FF2B5EF4-FFF2-40B4-BE49-F238E27FC236}">
              <a16:creationId xmlns:a16="http://schemas.microsoft.com/office/drawing/2014/main" id="{BAA72F4C-0655-289A-7948-4FBBC45901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363D53-B342-4AAA-9ADC-6A624A365D84}" name="Fall" displayName="Fall" ref="A8:AC43" totalsRowCount="1" dataDxfId="119" tableBorderDxfId="118" totalsRowCellStyle="Percent">
  <autoFilter ref="A8:AC42" xr:uid="{312CD8DB-7D78-4A30-8351-0C416FC7947F}"/>
  <tableColumns count="29">
    <tableColumn id="1" xr3:uid="{BE141104-D35B-4628-8FE6-F7FFE61C12FA}" name="CORE" totalsRowLabel="Total Percent Earned" dataDxfId="117" totalsRowDxfId="116"/>
    <tableColumn id="2" xr3:uid="{1305A6E6-1DD9-4506-839A-0F70CC070584}" name="Classroom Environment _x000a_(#of indicators = 0-4)" totalsRowFunction="custom" dataDxfId="115" totalsRowDxfId="114">
      <totalsRowFormula>B6</totalsRowFormula>
    </tableColumn>
    <tableColumn id="3" xr3:uid="{9DB9BB0F-042C-44A8-8931-BE5C434E5DF8}" name="Learning Expectations _x000a_(# of Indicators = 0-6)" totalsRowFunction="custom" dataDxfId="113" totalsRowDxfId="112">
      <totalsRowFormula>C6</totalsRowFormula>
    </tableColumn>
    <tableColumn id="4" xr3:uid="{95987222-C2A5-40B4-8322-89584372AF1C}" name="Student Thinking, Problem Solving, Voice _x000a_(# of Indicators = 0-5)" totalsRowFunction="custom" dataDxfId="111" totalsRowDxfId="110">
      <totalsRowFormula>D6</totalsRowFormula>
    </tableColumn>
    <tableColumn id="5" xr3:uid="{341DE6C9-605C-4F4C-BB57-439F5090F72C}" name="Engaging Students in Learning _x000a_(# of Indicators = 0-6)" totalsRowFunction="custom" dataDxfId="109" totalsRowDxfId="108">
      <totalsRowFormula>E6</totalsRowFormula>
    </tableColumn>
    <tableColumn id="6" xr3:uid="{E724782E-978F-46BF-BC68-0085F93F7EEF}" name="Assessment in Instruction _x000a_(# of Indicators = 0-4)" totalsRowFunction="custom" dataDxfId="107" totalsRowDxfId="106">
      <totalsRowFormula>F6</totalsRowFormula>
    </tableColumn>
    <tableColumn id="7" xr3:uid="{D420A779-2F43-4EE0-9591-553C10B7EC0E}" name="Flexibility and Responsiveness_x000a_(# of Indicators = 0-5)" totalsRowFunction="custom" dataDxfId="105" totalsRowDxfId="104">
      <totalsRowFormula>G6</totalsRowFormula>
    </tableColumn>
    <tableColumn id="8" xr3:uid="{1F3A7AEC-63B4-4BFF-8EAF-F49DEFBB0DED}" name="Integrity of Core Curriculum _x000a_(# of Indicators = 0-3)" totalsRowFunction="custom" dataDxfId="103" totalsRowDxfId="102">
      <totalsRowFormula>H6</totalsRowFormula>
    </tableColumn>
    <tableColumn id="9" xr3:uid="{F6A9ABE4-8D1F-4BF8-9564-C3E5C791256C}" name="Culturally _x000a_Relevant" dataDxfId="101" totalsRowDxfId="100"/>
    <tableColumn id="10" xr3:uid="{ED5D6C27-2C0E-49DD-B463-6B6B86FE9B15}" name="Culturally Relevant Curriculum _x000a_(#of Indicators= 0-5)" totalsRowFunction="custom" dataDxfId="99" totalsRowDxfId="98">
      <totalsRowFormula>J6</totalsRowFormula>
    </tableColumn>
    <tableColumn id="11" xr3:uid="{4FA91FB9-8F65-496C-AFDB-CB9FF112859C}" name="CR Pedagogy, Critical Thinking _x000a_(#of Indicators 0-4)" totalsRowFunction="custom" dataDxfId="97" totalsRowDxfId="96">
      <totalsRowFormula>K6</totalsRowFormula>
    </tableColumn>
    <tableColumn id="12" xr3:uid="{C6AA5403-57DC-4C13-B444-9275556C3440}" name="Positive Learning Community _x000a_(#of Indicators 0-2)" totalsRowFunction="custom" dataDxfId="95" totalsRowDxfId="94">
      <totalsRowFormula>L6</totalsRowFormula>
    </tableColumn>
    <tableColumn id="13" xr3:uid="{1F3221EA-237B-4923-B866-C5D5554E14B2}" name="Student Identity and Voice _x000a_(#of Indicators 0-2)" totalsRowFunction="custom" dataDxfId="93" totalsRowDxfId="92">
      <totalsRowFormula>M6</totalsRowFormula>
    </tableColumn>
    <tableColumn id="14" xr3:uid="{A2C1D4F2-B717-4B69-BF06-72A1E50976DB}" name="Language Acquisition" dataDxfId="91" totalsRowDxfId="90"/>
    <tableColumn id="15" xr3:uid="{BA1FD2CE-062D-4328-836C-BF1517CC1293}" name="English Language Development (ELD) Instruction = 0-4)" totalsRowFunction="custom" dataDxfId="89" totalsRowDxfId="88">
      <totalsRowFormula>O6</totalsRowFormula>
    </tableColumn>
    <tableColumn id="16" xr3:uid="{55A5B585-04DB-48F6-8B9E-2376407A94A6}" name="Cultural Responsiveness  _x000a_(#of Indicators 0-2)" totalsRowFunction="custom" dataDxfId="87" totalsRowDxfId="86">
      <totalsRowFormula>P6</totalsRowFormula>
    </tableColumn>
    <tableColumn id="17" xr3:uid="{FD622AFF-DEDA-4699-B5A1-EC64DA97736A}" name="Student Grouping, Language Use  _x000a_(#of Indicators 0-2)" totalsRowFunction="custom" dataDxfId="85" totalsRowDxfId="84">
      <totalsRowFormula>Q6</totalsRowFormula>
    </tableColumn>
    <tableColumn id="18" xr3:uid="{304B3AE0-1572-4DF5-AAE9-B557550CB44D}" name="Career &amp; Tech Education" dataDxfId="83" totalsRowDxfId="82"/>
    <tableColumn id="19" xr3:uid="{31DDBA0D-4E7F-4880-840B-4835DA129083}" name="Classroom Instruction_x000a_(#of Indicators= 0-3)" totalsRowFunction="custom" dataDxfId="81" totalsRowDxfId="80">
      <totalsRowFormula>S6</totalsRowFormula>
    </tableColumn>
    <tableColumn id="20" xr3:uid="{FEECA34F-0FB3-48BB-BFC5-FC623BE5069B}" name="Lab Instruction  _x000a_(#of Indicators 0-3)" totalsRowFunction="custom" dataDxfId="79" totalsRowDxfId="78">
      <totalsRowFormula>T6</totalsRowFormula>
    </tableColumn>
    <tableColumn id="21" xr3:uid="{AAD8F2D1-6F3D-44A3-9284-B9F36D03CBE6}" name="Exceptional Education" dataDxfId="77" totalsRowDxfId="76"/>
    <tableColumn id="22" xr3:uid="{FEBC9E6F-0200-4205-998F-DF8094852508}" name="Classroom Instruction_x000a_(#of Indicators= 0-2)" totalsRowFunction="custom" dataDxfId="75" totalsRowDxfId="74">
      <totalsRowFormula>V6</totalsRowFormula>
    </tableColumn>
    <tableColumn id="23" xr3:uid="{0250E4CF-0455-485A-8D77-3F6AA45614BA}" name="Magnet" dataDxfId="73" totalsRowDxfId="72"/>
    <tableColumn id="24" xr3:uid="{A6D64345-077A-4E8C-A30F-3FC25FED8D38}" name="Instructional Focus_x000a_(#of Indicators= 0-5)" totalsRowFunction="custom" dataDxfId="71" totalsRowDxfId="70">
      <totalsRowFormula>X6</totalsRowFormula>
    </tableColumn>
    <tableColumn id="25" xr3:uid="{A6CD7803-3FA1-4ECC-AF66-C0FA4B8A46CE}" name="Magnet Specific _x000a_(#of Indicators 0-3)" totalsRowFunction="custom" dataDxfId="69" totalsRowDxfId="68">
      <totalsRowFormula>Y6</totalsRowFormula>
    </tableColumn>
    <tableColumn id="26" xr3:uid="{310FB847-8006-4666-AA9B-A152F6B44265}" name="Community Engagement_x000a_(#of Indicators 0-2)" totalsRowFunction="custom" dataDxfId="67" totalsRowDxfId="66">
      <totalsRowFormula>Z6</totalsRowFormula>
    </tableColumn>
    <tableColumn id="32" xr3:uid="{02091392-3AAA-4700-BAFB-5D500E833149}" name="Two-Way Dual Language" dataDxfId="65" totalsRowDxfId="64"/>
    <tableColumn id="33" xr3:uid="{C2BDD570-D221-44AC-9128-7A427C53F70C}" name="Language Development_x000a_(#of Indicators= 0-5)" totalsRowFunction="custom" dataDxfId="63" totalsRowDxfId="62">
      <totalsRowFormula>AB6</totalsRowFormula>
    </tableColumn>
    <tableColumn id="34" xr3:uid="{4B5C05B9-9371-427D-93E7-A869B06DF374}" name="Cultural Competence  _x000a_(#of Indicators 0-4)" totalsRowFunction="custom" dataDxfId="61" totalsRowDxfId="60">
      <totalsRowFormula>AC6</totalsRow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2CD8DB-7D78-4A30-8351-0C416FC7947F}" name="Spring" displayName="Spring" ref="A8:AC43" totalsRowCount="1" dataDxfId="59" tableBorderDxfId="58" totalsRowCellStyle="Percent">
  <autoFilter ref="A8:AC42" xr:uid="{312CD8DB-7D78-4A30-8351-0C416FC7947F}"/>
  <tableColumns count="29">
    <tableColumn id="1" xr3:uid="{FC784481-4E27-41F8-AA9C-95A0826FF371}" name="CORE" totalsRowLabel="Total Percent Earned" dataDxfId="57" totalsRowDxfId="56"/>
    <tableColumn id="2" xr3:uid="{1F3420E5-4458-4110-8AEB-BC386E4B9AD4}" name="Classroom Environment _x000a_(#of indicators = 0-4)" totalsRowFunction="custom" dataDxfId="55" totalsRowDxfId="54">
      <totalsRowFormula>B6</totalsRowFormula>
    </tableColumn>
    <tableColumn id="3" xr3:uid="{F15C46D2-9CE6-4498-9E3E-95D4A5CECDA0}" name="Learning Expectations _x000a_(# of Indicators = 0-6)" totalsRowFunction="custom" dataDxfId="53" totalsRowDxfId="52">
      <totalsRowFormula>C6</totalsRowFormula>
    </tableColumn>
    <tableColumn id="4" xr3:uid="{BA72EE52-BA11-446B-9200-22DDEDECD73F}" name="Student Thinking, Problem Solving, Voice _x000a_(# of Indicators = 0-5)" totalsRowFunction="custom" dataDxfId="51" totalsRowDxfId="50">
      <totalsRowFormula>D6</totalsRowFormula>
    </tableColumn>
    <tableColumn id="5" xr3:uid="{5086176C-5078-4086-A075-D096F42FB763}" name="Engaging Students in Learning _x000a_(# of Indicators = 0-6)" totalsRowFunction="custom" dataDxfId="49" totalsRowDxfId="48">
      <totalsRowFormula>E6</totalsRowFormula>
    </tableColumn>
    <tableColumn id="6" xr3:uid="{F0479D1F-0948-4E6C-8542-D97AFB529176}" name="Assessment in Instruction _x000a_(# of Indicators = 0-4)" totalsRowFunction="custom" dataDxfId="47" totalsRowDxfId="46">
      <totalsRowFormula>F6</totalsRowFormula>
    </tableColumn>
    <tableColumn id="7" xr3:uid="{DA49FCFA-010B-4945-9258-8137A953E509}" name="Flexibility and Responsiveness_x000a_(# of Indicators = 0-5)" totalsRowFunction="custom" dataDxfId="45" totalsRowDxfId="44">
      <totalsRowFormula>G6</totalsRowFormula>
    </tableColumn>
    <tableColumn id="8" xr3:uid="{94DBC1C5-5A97-455B-AD16-C334EF29FD11}" name="Integrity of Core Curriculum _x000a_(# of Indicators = 0-3)" totalsRowFunction="custom" dataDxfId="43" totalsRowDxfId="42">
      <totalsRowFormula>H6</totalsRowFormula>
    </tableColumn>
    <tableColumn id="9" xr3:uid="{7332D6A1-7675-4DA2-8D30-1A853FA4FA55}" name="Culturally _x000a_Relevant" dataDxfId="41" totalsRowDxfId="40"/>
    <tableColumn id="10" xr3:uid="{2449FD5E-4E47-4907-8977-F9685B505FC2}" name="Culturally Relevant Curriculum _x000a_(#of Indicators= 0-5)" totalsRowFunction="custom" dataDxfId="39" totalsRowDxfId="38">
      <totalsRowFormula>J6</totalsRowFormula>
    </tableColumn>
    <tableColumn id="11" xr3:uid="{E7CA5AC1-00DA-4E20-B815-194B0637BB6E}" name="CR Pedagogy, Critical Thinking _x000a_(#of Indicators 0-4)" totalsRowFunction="custom" dataDxfId="37" totalsRowDxfId="36">
      <totalsRowFormula>K6</totalsRowFormula>
    </tableColumn>
    <tableColumn id="12" xr3:uid="{FA162EA2-FE3F-4B7D-9332-123C6E2AC055}" name="Positive Learning Community _x000a_(#of Indicators 0-2)" totalsRowFunction="custom" dataDxfId="35" totalsRowDxfId="34">
      <totalsRowFormula>L6</totalsRowFormula>
    </tableColumn>
    <tableColumn id="13" xr3:uid="{B02E7542-E589-409D-B40D-C09B0E20DE1D}" name="Student Identity and Voice _x000a_(#of Indicators 0-2)" totalsRowFunction="custom" dataDxfId="33" totalsRowDxfId="32">
      <totalsRowFormula>M6</totalsRowFormula>
    </tableColumn>
    <tableColumn id="14" xr3:uid="{AE54D72F-44E3-4387-BE7A-0E3C30A94B7E}" name="Language Acquisition" dataDxfId="31" totalsRowDxfId="30"/>
    <tableColumn id="15" xr3:uid="{86790905-6464-40DD-BECA-61CCA9728C9E}" name="English Language Development (ELD) Instruction = 0-4)" totalsRowFunction="custom" dataDxfId="29" totalsRowDxfId="28">
      <totalsRowFormula>O6</totalsRowFormula>
    </tableColumn>
    <tableColumn id="16" xr3:uid="{6D615DAC-47DE-4B78-85DD-D16F12ACC82C}" name="Cultural Responsiveness  _x000a_(#of Indicators 0-2)" totalsRowFunction="custom" dataDxfId="27" totalsRowDxfId="26">
      <totalsRowFormula>P6</totalsRowFormula>
    </tableColumn>
    <tableColumn id="17" xr3:uid="{862D352C-29A8-4733-BD16-A12364FA72BC}" name="Student Grouping, Language Use  _x000a_(#of Indicators 0-2)" totalsRowFunction="custom" dataDxfId="25" totalsRowDxfId="24">
      <totalsRowFormula>Q6</totalsRowFormula>
    </tableColumn>
    <tableColumn id="18" xr3:uid="{BCD19091-A930-4569-9A7F-ADACCCAD8828}" name="Career &amp; Tech Education" dataDxfId="23" totalsRowDxfId="22"/>
    <tableColumn id="19" xr3:uid="{E3D66F9A-BEEC-4787-A709-4018044F1A2E}" name="Classroom Instruction_x000a_(#of Indicators= 0-3)" totalsRowFunction="custom" dataDxfId="21" totalsRowDxfId="20">
      <totalsRowFormula>S6</totalsRowFormula>
    </tableColumn>
    <tableColumn id="20" xr3:uid="{F19B885C-530A-4EBB-8C07-71777374C0E6}" name="Lab Instruction  _x000a_(#of Indicators 0-3)" totalsRowFunction="custom" dataDxfId="19" totalsRowDxfId="18">
      <totalsRowFormula>T6</totalsRowFormula>
    </tableColumn>
    <tableColumn id="21" xr3:uid="{0CF8EFE6-3865-4CA9-96EF-F514D5E18B18}" name="Exceptional Education" dataDxfId="17" totalsRowDxfId="16"/>
    <tableColumn id="22" xr3:uid="{6D0DC75C-62EE-4234-8703-02F9500BA34F}" name="Classroom Instruction_x000a_(#of Indicators= 0-2)" totalsRowFunction="custom" dataDxfId="15" totalsRowDxfId="14">
      <totalsRowFormula>V6</totalsRowFormula>
    </tableColumn>
    <tableColumn id="23" xr3:uid="{C5AB64EE-082B-46A1-A5D2-7F4B23222F29}" name="Magnet" dataDxfId="13" totalsRowDxfId="12"/>
    <tableColumn id="24" xr3:uid="{7C027AA3-7760-43D8-A157-DD9FFBF87A40}" name="Instructional Focus_x000a_(#of Indicators= 0-5)" totalsRowFunction="custom" dataDxfId="11" totalsRowDxfId="10">
      <totalsRowFormula>X6</totalsRowFormula>
    </tableColumn>
    <tableColumn id="25" xr3:uid="{8084A58E-83DF-48CF-B46A-0B038593D65D}" name="Magnet Specific _x000a_(#of Indicators 0-3)" totalsRowFunction="custom" dataDxfId="9" totalsRowDxfId="8">
      <totalsRowFormula>Y6</totalsRowFormula>
    </tableColumn>
    <tableColumn id="26" xr3:uid="{7818998A-06D0-409B-9195-1C6A38A3C44E}" name="Community Engagement_x000a_(#of Indicators 0-2)" totalsRowFunction="custom" dataDxfId="7" totalsRowDxfId="6">
      <totalsRowFormula>Z6</totalsRowFormula>
    </tableColumn>
    <tableColumn id="32" xr3:uid="{6CAA4A70-BA86-4B49-94A3-3729B6752C16}" name="Two-Way Dual Language" dataDxfId="5" totalsRowDxfId="4"/>
    <tableColumn id="33" xr3:uid="{4DB608EB-1B9E-464B-8B89-ABF421CF1EE4}" name="Language Development_x000a_(#of Indicators= 0-5)" totalsRowFunction="custom" dataDxfId="3" totalsRowDxfId="2">
      <totalsRowFormula>AB6</totalsRowFormula>
    </tableColumn>
    <tableColumn id="34" xr3:uid="{DD89BC41-6F3D-4815-96CA-A7376383B461}" name="Cultural Competence  _x000a_(#of Indicators 0-4)" totalsRowFunction="custom" dataDxfId="1" totalsRowDxfId="0">
      <totalsRowFormula>AC6</totalsRowFormula>
    </tableColumn>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C22:M42"/>
  <sheetViews>
    <sheetView showGridLines="0" showRuler="0" view="pageLayout" topLeftCell="A8" zoomScaleNormal="100" workbookViewId="0">
      <selection activeCell="F31" sqref="F31:J31"/>
      <extLst>
        <ext xmlns:xlsdti="http://schemas.microsoft.com/office/spreadsheetml/2023/showDataTypeIcons" uri="{77bfe23e-c014-4d31-8a63-9c772dbf06b6}">
          <xlsdti:showDataTypeIcons visible="0"/>
        </ext>
      </extLst>
    </sheetView>
  </sheetViews>
  <sheetFormatPr defaultRowHeight="14.4" x14ac:dyDescent="0.3"/>
  <sheetData>
    <row r="22" spans="3:13" ht="18" x14ac:dyDescent="0.35">
      <c r="J22" s="136"/>
      <c r="K22" s="137"/>
      <c r="L22" s="137"/>
      <c r="M22" s="137"/>
    </row>
    <row r="26" spans="3:13" ht="15" thickBot="1" x14ac:dyDescent="0.35"/>
    <row r="27" spans="3:13" ht="19.5" customHeight="1" thickBot="1" x14ac:dyDescent="0.4">
      <c r="C27" s="134" t="s">
        <v>0</v>
      </c>
      <c r="D27" s="134"/>
      <c r="E27" s="135"/>
      <c r="F27" s="138" t="s">
        <v>147</v>
      </c>
      <c r="G27" s="139"/>
      <c r="H27" s="139"/>
      <c r="I27" s="139"/>
      <c r="J27" s="140"/>
    </row>
    <row r="28" spans="3:13" x14ac:dyDescent="0.3">
      <c r="C28" s="16"/>
      <c r="D28" s="16"/>
      <c r="E28" s="16"/>
    </row>
    <row r="29" spans="3:13" ht="15" thickBot="1" x14ac:dyDescent="0.35">
      <c r="C29" s="16"/>
      <c r="D29" s="16"/>
      <c r="E29" s="16"/>
    </row>
    <row r="30" spans="3:13" ht="18.75" customHeight="1" thickBot="1" x14ac:dyDescent="0.4">
      <c r="C30" s="134" t="s">
        <v>1</v>
      </c>
      <c r="D30" s="134"/>
      <c r="E30" s="135"/>
      <c r="F30" s="141">
        <v>45925</v>
      </c>
      <c r="G30" s="142"/>
      <c r="H30" s="142"/>
      <c r="I30" s="142"/>
      <c r="J30" s="143"/>
    </row>
    <row r="31" spans="3:13" ht="19.5" customHeight="1" thickBot="1" x14ac:dyDescent="0.4">
      <c r="C31" s="134" t="s">
        <v>2</v>
      </c>
      <c r="D31" s="134"/>
      <c r="E31" s="135"/>
      <c r="F31" s="144" t="s">
        <v>148</v>
      </c>
      <c r="G31" s="145"/>
      <c r="H31" s="145"/>
      <c r="I31" s="145"/>
      <c r="J31" s="146"/>
    </row>
    <row r="32" spans="3:13" ht="15" thickBot="1" x14ac:dyDescent="0.35">
      <c r="C32" s="16"/>
      <c r="D32" s="16"/>
      <c r="E32" s="16"/>
    </row>
    <row r="33" spans="3:10" ht="18.600000000000001" thickBot="1" x14ac:dyDescent="0.4">
      <c r="C33" s="134" t="s">
        <v>3</v>
      </c>
      <c r="D33" s="134"/>
      <c r="E33" s="134"/>
      <c r="F33" s="141"/>
      <c r="G33" s="142"/>
      <c r="H33" s="142"/>
      <c r="I33" s="142"/>
      <c r="J33" s="143"/>
    </row>
    <row r="34" spans="3:10" ht="18.600000000000001" thickBot="1" x14ac:dyDescent="0.4">
      <c r="C34" s="134" t="s">
        <v>2</v>
      </c>
      <c r="D34" s="134"/>
      <c r="E34" s="134"/>
      <c r="F34" s="144"/>
      <c r="G34" s="145"/>
      <c r="H34" s="145"/>
      <c r="I34" s="145"/>
      <c r="J34" s="146"/>
    </row>
    <row r="41" spans="3:10" ht="18" x14ac:dyDescent="0.35">
      <c r="C41" s="12" t="s">
        <v>4</v>
      </c>
    </row>
    <row r="42" spans="3:10" ht="18" x14ac:dyDescent="0.3">
      <c r="C42" s="13" t="s">
        <v>5</v>
      </c>
    </row>
  </sheetData>
  <sheetProtection selectLockedCells="1" selectUnlockedCells="1"/>
  <mergeCells count="11">
    <mergeCell ref="F31:J31"/>
    <mergeCell ref="C31:E31"/>
    <mergeCell ref="C33:E33"/>
    <mergeCell ref="C34:E34"/>
    <mergeCell ref="F33:J33"/>
    <mergeCell ref="F34:J34"/>
    <mergeCell ref="C27:E27"/>
    <mergeCell ref="J22:M22"/>
    <mergeCell ref="C30:E30"/>
    <mergeCell ref="F27:J27"/>
    <mergeCell ref="F30:J30"/>
  </mergeCells>
  <pageMargins left="0.25" right="0.25" top="0.75" bottom="0.75" header="0.3" footer="0.3"/>
  <pageSetup scale="85" orientation="portrait" r:id="rId1"/>
  <headerFooter>
    <oddFooter xml:space="preserve">&amp;C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A1:A15"/>
  <sheetViews>
    <sheetView showGridLines="0" showRowColHeaders="0" zoomScaleNormal="100" zoomScalePageLayoutView="83" workbookViewId="0">
      <selection activeCell="A9" sqref="A9"/>
      <extLst>
        <ext xmlns:xlsdti="http://schemas.microsoft.com/office/spreadsheetml/2023/showDataTypeIcons" uri="{77bfe23e-c014-4d31-8a63-9c772dbf06b6}">
          <xlsdti:showDataTypeIcons visible="0"/>
        </ext>
      </extLst>
    </sheetView>
  </sheetViews>
  <sheetFormatPr defaultRowHeight="14.4" x14ac:dyDescent="0.3"/>
  <cols>
    <col min="1" max="1" width="107.44140625" style="4" customWidth="1"/>
  </cols>
  <sheetData>
    <row r="1" spans="1:1" ht="21" thickBot="1" x14ac:dyDescent="0.35">
      <c r="A1" s="14" t="s">
        <v>6</v>
      </c>
    </row>
    <row r="2" spans="1:1" ht="12.6" customHeight="1" x14ac:dyDescent="0.3">
      <c r="A2" s="38"/>
    </row>
    <row r="3" spans="1:1" ht="44.4" customHeight="1" x14ac:dyDescent="0.3">
      <c r="A3" s="42" t="s">
        <v>7</v>
      </c>
    </row>
    <row r="4" spans="1:1" ht="9" customHeight="1" x14ac:dyDescent="0.3">
      <c r="A4" s="38"/>
    </row>
    <row r="5" spans="1:1" ht="57.6" customHeight="1" x14ac:dyDescent="0.3">
      <c r="A5" s="43" t="s">
        <v>8</v>
      </c>
    </row>
    <row r="6" spans="1:1" ht="12.6" customHeight="1" x14ac:dyDescent="0.3">
      <c r="A6" s="38"/>
    </row>
    <row r="7" spans="1:1" ht="258" customHeight="1" x14ac:dyDescent="0.3">
      <c r="A7" s="46" t="s">
        <v>9</v>
      </c>
    </row>
    <row r="8" spans="1:1" ht="8.4" customHeight="1" x14ac:dyDescent="0.3">
      <c r="A8" s="38"/>
    </row>
    <row r="9" spans="1:1" ht="190.5" customHeight="1" x14ac:dyDescent="0.3">
      <c r="A9" s="45" t="s">
        <v>10</v>
      </c>
    </row>
    <row r="10" spans="1:1" ht="6" customHeight="1" x14ac:dyDescent="0.3">
      <c r="A10" s="41"/>
    </row>
    <row r="11" spans="1:1" ht="134.4" customHeight="1" x14ac:dyDescent="0.3">
      <c r="A11" s="45" t="s">
        <v>11</v>
      </c>
    </row>
    <row r="12" spans="1:1" x14ac:dyDescent="0.3">
      <c r="A12" s="41"/>
    </row>
    <row r="13" spans="1:1" ht="47.4" customHeight="1" x14ac:dyDescent="0.3">
      <c r="A13" s="40" t="s">
        <v>12</v>
      </c>
    </row>
    <row r="14" spans="1:1" ht="15.6" x14ac:dyDescent="0.3">
      <c r="A14" s="39"/>
    </row>
    <row r="15" spans="1:1" ht="15.6" x14ac:dyDescent="0.3">
      <c r="A15" s="39"/>
    </row>
  </sheetData>
  <pageMargins left="0.28273809523809523" right="0.10416666666666667" top="0.33333333333333298" bottom="0.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D78FA-5862-486A-B399-FC796AB64BAF}">
  <sheetPr>
    <tabColor theme="3" tint="0.59999389629810485"/>
    <pageSetUpPr fitToPage="1"/>
  </sheetPr>
  <dimension ref="A1:AC109"/>
  <sheetViews>
    <sheetView showGridLines="0" topLeftCell="A5" zoomScaleNormal="100" workbookViewId="0">
      <selection activeCell="V13" sqref="V13"/>
    </sheetView>
  </sheetViews>
  <sheetFormatPr defaultColWidth="8.88671875" defaultRowHeight="18" x14ac:dyDescent="0.35"/>
  <cols>
    <col min="1" max="1" width="24.6640625" style="1" customWidth="1"/>
    <col min="2" max="2" width="24.5546875" style="1" customWidth="1"/>
    <col min="3" max="3" width="24.5546875" style="3" customWidth="1"/>
    <col min="4" max="7" width="24.5546875" style="1" customWidth="1"/>
    <col min="8" max="8" width="23.6640625" style="1" customWidth="1"/>
    <col min="9" max="9" width="16.109375" style="3" customWidth="1"/>
    <col min="10" max="10" width="25.109375" style="1" bestFit="1" customWidth="1"/>
    <col min="11" max="13" width="25.5546875" style="1" bestFit="1" customWidth="1"/>
    <col min="14" max="14" width="16.109375" style="3" customWidth="1"/>
    <col min="15" max="15" width="24.5546875" style="1" bestFit="1" customWidth="1"/>
    <col min="16" max="17" width="25.5546875" style="1" bestFit="1" customWidth="1"/>
    <col min="18" max="18" width="16.109375" style="3" customWidth="1"/>
    <col min="19" max="19" width="25.109375" style="1" bestFit="1" customWidth="1"/>
    <col min="20" max="20" width="22.6640625" style="1" bestFit="1" customWidth="1"/>
    <col min="21" max="21" width="16.109375" style="3" customWidth="1"/>
    <col min="22" max="22" width="25.109375" style="1" bestFit="1" customWidth="1"/>
    <col min="23" max="23" width="16.109375" style="3" customWidth="1"/>
    <col min="24" max="24" width="23.5546875" style="1" bestFit="1" customWidth="1"/>
    <col min="25" max="25" width="22.33203125" style="1" bestFit="1" customWidth="1"/>
    <col min="26" max="26" width="25.5546875" style="1" bestFit="1" customWidth="1"/>
    <col min="27" max="27" width="16.109375" style="3" customWidth="1"/>
    <col min="28" max="28" width="28.109375" style="1" bestFit="1" customWidth="1"/>
    <col min="29" max="29" width="28" style="1" bestFit="1" customWidth="1"/>
    <col min="30" max="16384" width="8.88671875" style="1"/>
  </cols>
  <sheetData>
    <row r="1" spans="1:29" s="6" customFormat="1" ht="45.75" customHeight="1" x14ac:dyDescent="0.3">
      <c r="A1" s="150" t="s">
        <v>146</v>
      </c>
      <c r="B1" s="151"/>
      <c r="C1" s="152"/>
      <c r="D1" s="108" t="s">
        <v>138</v>
      </c>
      <c r="E1" s="153" t="str">
        <f>Cover!F27</f>
        <v>Alice Vail</v>
      </c>
      <c r="F1" s="153"/>
      <c r="G1" s="110" t="s">
        <v>140</v>
      </c>
      <c r="H1" s="109">
        <f>Cover!F30</f>
        <v>45925</v>
      </c>
      <c r="I1" s="89"/>
      <c r="N1" s="89"/>
      <c r="R1" s="89"/>
      <c r="U1" s="89"/>
      <c r="W1" s="89"/>
      <c r="AA1" s="89"/>
    </row>
    <row r="2" spans="1:29" s="6" customFormat="1" ht="45.75" customHeight="1" x14ac:dyDescent="0.3">
      <c r="I2" s="89"/>
      <c r="N2" s="89"/>
      <c r="R2" s="89"/>
      <c r="U2" s="89"/>
      <c r="W2" s="89"/>
      <c r="AA2" s="89"/>
    </row>
    <row r="3" spans="1:29" s="6" customFormat="1" ht="45.75" customHeight="1" x14ac:dyDescent="0.3">
      <c r="I3" s="89"/>
      <c r="N3" s="89"/>
      <c r="R3" s="89"/>
      <c r="U3" s="89"/>
      <c r="W3" s="89"/>
      <c r="AA3" s="89"/>
    </row>
    <row r="4" spans="1:29" s="85" customFormat="1" ht="45.75" customHeight="1" x14ac:dyDescent="0.3">
      <c r="A4" s="107" t="s">
        <v>13</v>
      </c>
      <c r="B4" s="74" t="s">
        <v>54</v>
      </c>
      <c r="C4" s="75" t="s">
        <v>55</v>
      </c>
      <c r="D4" s="76" t="s">
        <v>56</v>
      </c>
      <c r="E4" s="77" t="s">
        <v>57</v>
      </c>
      <c r="F4" s="78" t="s">
        <v>58</v>
      </c>
      <c r="G4" s="79" t="s">
        <v>59</v>
      </c>
      <c r="H4" s="86" t="s">
        <v>60</v>
      </c>
      <c r="I4" s="147" t="s">
        <v>63</v>
      </c>
      <c r="J4" s="87" t="s">
        <v>101</v>
      </c>
      <c r="K4" s="63" t="s">
        <v>136</v>
      </c>
      <c r="L4" s="64" t="s">
        <v>68</v>
      </c>
      <c r="M4" s="70" t="s">
        <v>69</v>
      </c>
      <c r="N4" s="147" t="s">
        <v>70</v>
      </c>
      <c r="O4" s="80" t="s">
        <v>74</v>
      </c>
      <c r="P4" s="65" t="s">
        <v>75</v>
      </c>
      <c r="Q4" s="71" t="s">
        <v>76</v>
      </c>
      <c r="R4" s="147" t="s">
        <v>77</v>
      </c>
      <c r="S4" s="81" t="s">
        <v>80</v>
      </c>
      <c r="T4" s="72" t="s">
        <v>81</v>
      </c>
      <c r="U4" s="147" t="s">
        <v>82</v>
      </c>
      <c r="V4" s="82" t="s">
        <v>80</v>
      </c>
      <c r="W4" s="147" t="s">
        <v>84</v>
      </c>
      <c r="X4" s="83" t="s">
        <v>88</v>
      </c>
      <c r="Y4" s="66" t="s">
        <v>137</v>
      </c>
      <c r="Z4" s="73" t="s">
        <v>89</v>
      </c>
      <c r="AA4" s="147" t="s">
        <v>90</v>
      </c>
      <c r="AB4" s="84" t="s">
        <v>93</v>
      </c>
      <c r="AC4" s="88" t="s">
        <v>94</v>
      </c>
    </row>
    <row r="5" spans="1:29" s="99" customFormat="1" ht="33" customHeight="1" x14ac:dyDescent="0.3">
      <c r="A5" s="95" t="s">
        <v>61</v>
      </c>
      <c r="B5" s="123" t="str">
        <f>IFERROR(TEXT(AVERAGE(B9:B42),"##.00")&amp;" out of 4","No Data")</f>
        <v>3.60 out of 4</v>
      </c>
      <c r="C5" s="97" t="str">
        <f>IFERROR(TEXT(AVERAGE(C9:C42),"##.00")&amp;" out of 6","No Data")</f>
        <v>5.00 out of 6</v>
      </c>
      <c r="D5" s="97" t="str">
        <f>IFERROR(TEXT(AVERAGE(D9:D42),"##.00")&amp;" out of 5","No Data")</f>
        <v>2.80 out of 5</v>
      </c>
      <c r="E5" s="97" t="str">
        <f>IFERROR(TEXT(AVERAGE(E9:E42),"##.00")&amp;" out of 6","No Data")</f>
        <v>4.30 out of 6</v>
      </c>
      <c r="F5" s="97" t="str">
        <f>IFERROR(TEXT(AVERAGE(F9:F42),"##.00")&amp;" out of 4","No Data")</f>
        <v>2.40 out of 4</v>
      </c>
      <c r="G5" s="97" t="str">
        <f>IFERROR(TEXT(AVERAGE(G9:G42),"##.00")&amp;" out of 5","No Data")</f>
        <v>3.10 out of 5</v>
      </c>
      <c r="H5" s="98" t="str">
        <f>IFERROR(TEXT(AVERAGE(H9:H42),"##.00")&amp;" out of 3","No Data")</f>
        <v>2.80 out of 3</v>
      </c>
      <c r="I5" s="148"/>
      <c r="J5" s="97" t="str">
        <f>IFERROR(TEXT(AVERAGE(J9:J42),"##.00")&amp;" out of 5","No Data")</f>
        <v>No Data</v>
      </c>
      <c r="K5" s="97" t="str">
        <f>IFERROR(TEXT(AVERAGE(K9:K42),"##.00")&amp;" out of 4","No Data")</f>
        <v>No Data</v>
      </c>
      <c r="L5" s="97" t="str">
        <f>IFERROR(TEXT(AVERAGE(L9:L42),"##.00")&amp;" out of 2","No Data")</f>
        <v>No Data</v>
      </c>
      <c r="M5" s="98" t="str">
        <f>IFERROR(TEXT(AVERAGE(M9:M42),"##.00")&amp;" out of 2","No Data")</f>
        <v>No Data</v>
      </c>
      <c r="N5" s="148"/>
      <c r="O5" s="97" t="str">
        <f>IFERROR(TEXT(AVERAGE(O9:O42),"##.00")&amp;" out of 4","No Data")</f>
        <v>2.50 out of 4</v>
      </c>
      <c r="P5" s="97" t="str">
        <f>IFERROR(TEXT(AVERAGE(P9:P42),"##.00")&amp;" out of 2","No Data")</f>
        <v>1.00 out of 2</v>
      </c>
      <c r="Q5" s="98" t="str">
        <f>IFERROR(TEXT(AVERAGE(Q9:Q42),"##.00")&amp;" out of 2","No Data")</f>
        <v>1.00 out of 2</v>
      </c>
      <c r="R5" s="148"/>
      <c r="S5" s="97" t="str">
        <f>IFERROR(TEXT(AVERAGE(S9:S42),"##.00")&amp;" out of 3","No Data")</f>
        <v>No Data</v>
      </c>
      <c r="T5" s="98" t="str">
        <f>IFERROR(TEXT(AVERAGE(T9:T42),"##.00")&amp;" out of 3","No Data")</f>
        <v>No Data</v>
      </c>
      <c r="U5" s="148"/>
      <c r="V5" s="98" t="str">
        <f>IFERROR(TEXT(AVERAGE(V9:V42),"##.00")&amp;" out of 2","No Data")</f>
        <v>1.50 out of 2</v>
      </c>
      <c r="W5" s="148"/>
      <c r="X5" s="97" t="str">
        <f>IFERROR(TEXT(AVERAGE(X9:X42),"##.00")&amp;" out of 5","No Data")</f>
        <v>No Data</v>
      </c>
      <c r="Y5" s="97" t="str">
        <f>IFERROR(TEXT(AVERAGE(Y9:Y42),"##.00")&amp;" out of 3","No Data")</f>
        <v>No Data</v>
      </c>
      <c r="Z5" s="98" t="str">
        <f>IFERROR(TEXT(AVERAGE(Z9:Z42),"##.00")&amp;" out of 2","No Data")</f>
        <v>No Data</v>
      </c>
      <c r="AA5" s="148"/>
      <c r="AB5" s="97" t="str">
        <f>IFERROR(TEXT(AVERAGE(AB9:AB42),"##.00")&amp;" out of 5","No Data")</f>
        <v>No Data</v>
      </c>
      <c r="AC5" s="97" t="str">
        <f t="shared" ref="AC5" si="0">IFERROR(TEXT(AVERAGE(AC9:AC42),"##.00")&amp;" out of 4","No Data")</f>
        <v>No Data</v>
      </c>
    </row>
    <row r="6" spans="1:29" s="99" customFormat="1" ht="33" customHeight="1" x14ac:dyDescent="0.3">
      <c r="A6" s="100" t="s">
        <v>62</v>
      </c>
      <c r="B6" s="124">
        <f>IFERROR(AVERAGE(B9:B42)/4,"No Data")</f>
        <v>0.9</v>
      </c>
      <c r="C6" s="125">
        <f>IFERROR(AVERAGE(C9:C42)/6,"No Data")</f>
        <v>0.83333333333333337</v>
      </c>
      <c r="D6" s="124">
        <f>IFERROR(AVERAGE(D9:D42)/5,"No Data")</f>
        <v>0.55999999999999994</v>
      </c>
      <c r="E6" s="124">
        <f>IFERROR(AVERAGE(E9:E42)/6,"No Data")</f>
        <v>0.71666666666666667</v>
      </c>
      <c r="F6" s="124">
        <f>IFERROR(AVERAGE(F9:F42)/4,"No Data")</f>
        <v>0.6</v>
      </c>
      <c r="G6" s="124">
        <f>IFERROR(AVERAGE(G9:G42)/5,"No Data")</f>
        <v>0.62</v>
      </c>
      <c r="H6" s="126">
        <f>IFERROR(AVERAGE(H9:H42)/3,"No Data")</f>
        <v>0.93333333333333324</v>
      </c>
      <c r="I6" s="149"/>
      <c r="J6" s="125" t="str">
        <f>IFERROR(AVERAGE(J9:J42)/5,"No Data")</f>
        <v>No Data</v>
      </c>
      <c r="K6" s="124" t="str">
        <f>IFERROR(AVERAGE(K9:K42)/4,"No Data")</f>
        <v>No Data</v>
      </c>
      <c r="L6" s="124" t="str">
        <f>IFERROR(AVERAGE(L9:L42)/2,"No Data")</f>
        <v>No Data</v>
      </c>
      <c r="M6" s="126" t="str">
        <f>IFERROR(AVERAGE(M9:M42)/2,"No Data")</f>
        <v>No Data</v>
      </c>
      <c r="N6" s="149"/>
      <c r="O6" s="125">
        <f>IFERROR(AVERAGE(O9:O42)/4,"No Data")</f>
        <v>0.625</v>
      </c>
      <c r="P6" s="125">
        <f>IFERROR(AVERAGE(P9:P42)/2,"No Data")</f>
        <v>0.5</v>
      </c>
      <c r="Q6" s="127">
        <f>IFERROR(AVERAGE(Q9:Q42)/2,"No Data")</f>
        <v>0.5</v>
      </c>
      <c r="R6" s="149"/>
      <c r="S6" s="125" t="str">
        <f>IFERROR(AVERAGE(S9:S42)/3,"No Data")</f>
        <v>No Data</v>
      </c>
      <c r="T6" s="126" t="str">
        <f>IFERROR(AVERAGE(T9:T42)/3,"No Data")</f>
        <v>No Data</v>
      </c>
      <c r="U6" s="149"/>
      <c r="V6" s="127">
        <f>IFERROR(AVERAGE(V9:V42)/2,"No Data")</f>
        <v>0.75</v>
      </c>
      <c r="W6" s="149"/>
      <c r="X6" s="125" t="str">
        <f>IFERROR(AVERAGE(X9:X42)/5,"No Data")</f>
        <v>No Data</v>
      </c>
      <c r="Y6" s="124" t="str">
        <f>IFERROR(AVERAGE(Y9:Y42)/3,"No Data")</f>
        <v>No Data</v>
      </c>
      <c r="Z6" s="126" t="str">
        <f>IFERROR(AVERAGE(Z9:Z42)/2,"No Data")</f>
        <v>No Data</v>
      </c>
      <c r="AA6" s="149"/>
      <c r="AB6" s="125" t="str">
        <f>IFERROR(AVERAGE(AB9:AB42)/5,"No Data")</f>
        <v>No Data</v>
      </c>
      <c r="AC6" s="124" t="str">
        <f>IFERROR(AVERAGE(AC9:AC42)/4,"No Data")</f>
        <v>No Data</v>
      </c>
    </row>
    <row r="7" spans="1:29" s="6" customFormat="1" ht="45.75" customHeight="1" x14ac:dyDescent="0.3">
      <c r="I7" s="89"/>
      <c r="N7" s="89"/>
      <c r="R7" s="89"/>
      <c r="U7" s="89"/>
      <c r="W7" s="89"/>
      <c r="AA7" s="89"/>
    </row>
    <row r="8" spans="1:29" ht="59.25" customHeight="1" x14ac:dyDescent="0.3">
      <c r="A8" s="93" t="s">
        <v>13</v>
      </c>
      <c r="B8" s="47" t="s">
        <v>14</v>
      </c>
      <c r="C8" s="17" t="s">
        <v>15</v>
      </c>
      <c r="D8" s="7" t="s">
        <v>16</v>
      </c>
      <c r="E8" s="8" t="s">
        <v>145</v>
      </c>
      <c r="F8" s="18" t="s">
        <v>17</v>
      </c>
      <c r="G8" s="48" t="s">
        <v>18</v>
      </c>
      <c r="H8" s="49" t="s">
        <v>19</v>
      </c>
      <c r="I8" s="94" t="s">
        <v>63</v>
      </c>
      <c r="J8" s="51" t="s">
        <v>64</v>
      </c>
      <c r="K8" s="52" t="s">
        <v>65</v>
      </c>
      <c r="L8" s="53" t="s">
        <v>66</v>
      </c>
      <c r="M8" s="53" t="s">
        <v>67</v>
      </c>
      <c r="N8" s="91" t="s">
        <v>70</v>
      </c>
      <c r="O8" s="54" t="s">
        <v>71</v>
      </c>
      <c r="P8" s="55" t="s">
        <v>72</v>
      </c>
      <c r="Q8" s="56" t="s">
        <v>73</v>
      </c>
      <c r="R8" s="91" t="s">
        <v>77</v>
      </c>
      <c r="S8" s="57" t="s">
        <v>78</v>
      </c>
      <c r="T8" s="58" t="s">
        <v>79</v>
      </c>
      <c r="U8" s="91" t="s">
        <v>82</v>
      </c>
      <c r="V8" s="59" t="s">
        <v>83</v>
      </c>
      <c r="W8" s="92" t="s">
        <v>84</v>
      </c>
      <c r="X8" s="67" t="s">
        <v>85</v>
      </c>
      <c r="Y8" s="60" t="s">
        <v>86</v>
      </c>
      <c r="Z8" s="61" t="s">
        <v>87</v>
      </c>
      <c r="AA8" s="91" t="s">
        <v>90</v>
      </c>
      <c r="AB8" s="68" t="s">
        <v>91</v>
      </c>
      <c r="AC8" s="62" t="s">
        <v>92</v>
      </c>
    </row>
    <row r="9" spans="1:29" s="2" customFormat="1" ht="20.25" customHeight="1" x14ac:dyDescent="0.3">
      <c r="A9" s="69" t="s">
        <v>20</v>
      </c>
      <c r="B9" s="69">
        <v>4</v>
      </c>
      <c r="C9" s="69">
        <v>6</v>
      </c>
      <c r="D9" s="69">
        <v>4</v>
      </c>
      <c r="E9" s="69">
        <v>6</v>
      </c>
      <c r="F9" s="69">
        <v>3</v>
      </c>
      <c r="G9" s="69">
        <v>4</v>
      </c>
      <c r="H9" s="69">
        <v>3</v>
      </c>
      <c r="I9" s="105"/>
      <c r="J9" s="69"/>
      <c r="K9" s="69"/>
      <c r="L9" s="69"/>
      <c r="M9" s="69"/>
      <c r="N9" s="105"/>
      <c r="O9" s="69">
        <v>3</v>
      </c>
      <c r="P9" s="69">
        <v>1</v>
      </c>
      <c r="Q9" s="69">
        <v>1</v>
      </c>
      <c r="R9" s="105"/>
      <c r="S9" s="69"/>
      <c r="T9" s="69"/>
      <c r="U9" s="105"/>
      <c r="V9" s="69">
        <v>1</v>
      </c>
      <c r="W9" s="105"/>
      <c r="X9" s="69"/>
      <c r="Y9" s="69"/>
      <c r="Z9" s="69"/>
      <c r="AA9" s="105"/>
      <c r="AB9" s="69"/>
      <c r="AC9" s="69"/>
    </row>
    <row r="10" spans="1:29" s="2" customFormat="1" ht="20.25" customHeight="1" x14ac:dyDescent="0.3">
      <c r="A10" s="69" t="s">
        <v>21</v>
      </c>
      <c r="B10" s="69">
        <v>3</v>
      </c>
      <c r="C10" s="69">
        <v>0</v>
      </c>
      <c r="D10" s="69">
        <v>1</v>
      </c>
      <c r="E10" s="69">
        <v>2</v>
      </c>
      <c r="F10" s="69">
        <v>1</v>
      </c>
      <c r="G10" s="69">
        <v>2</v>
      </c>
      <c r="H10" s="69">
        <v>3</v>
      </c>
      <c r="I10" s="105"/>
      <c r="J10" s="69"/>
      <c r="K10" s="69"/>
      <c r="L10" s="69"/>
      <c r="M10" s="69"/>
      <c r="N10" s="105"/>
      <c r="O10" s="69">
        <v>2</v>
      </c>
      <c r="P10" s="69">
        <v>1</v>
      </c>
      <c r="Q10" s="69">
        <v>1</v>
      </c>
      <c r="R10" s="105"/>
      <c r="S10" s="69"/>
      <c r="T10" s="69"/>
      <c r="U10" s="105"/>
      <c r="V10" s="69">
        <v>2</v>
      </c>
      <c r="W10" s="105"/>
      <c r="X10" s="69"/>
      <c r="Y10" s="69"/>
      <c r="Z10" s="69"/>
      <c r="AA10" s="105"/>
      <c r="AB10" s="69"/>
      <c r="AC10" s="69"/>
    </row>
    <row r="11" spans="1:29" s="2" customFormat="1" ht="20.25" customHeight="1" x14ac:dyDescent="0.3">
      <c r="A11" s="69" t="s">
        <v>22</v>
      </c>
      <c r="B11" s="69">
        <v>4</v>
      </c>
      <c r="C11" s="69">
        <v>6</v>
      </c>
      <c r="D11" s="69">
        <v>4</v>
      </c>
      <c r="E11" s="69">
        <v>6</v>
      </c>
      <c r="F11" s="69">
        <v>2</v>
      </c>
      <c r="G11" s="69">
        <v>5</v>
      </c>
      <c r="H11" s="69">
        <v>3</v>
      </c>
      <c r="I11" s="105"/>
      <c r="J11" s="69"/>
      <c r="K11" s="69"/>
      <c r="L11" s="69"/>
      <c r="M11" s="69"/>
      <c r="N11" s="105"/>
      <c r="O11" s="69"/>
      <c r="P11" s="69"/>
      <c r="Q11" s="69"/>
      <c r="R11" s="105"/>
      <c r="S11" s="69"/>
      <c r="T11" s="69"/>
      <c r="U11" s="105"/>
      <c r="V11" s="69"/>
      <c r="W11" s="105"/>
      <c r="X11" s="69"/>
      <c r="Y11" s="69"/>
      <c r="Z11" s="69"/>
      <c r="AA11" s="105"/>
      <c r="AB11" s="69"/>
      <c r="AC11" s="69"/>
    </row>
    <row r="12" spans="1:29" s="2" customFormat="1" ht="20.25" customHeight="1" x14ac:dyDescent="0.3">
      <c r="A12" s="69" t="s">
        <v>23</v>
      </c>
      <c r="B12" s="69">
        <v>4</v>
      </c>
      <c r="C12" s="69">
        <v>6</v>
      </c>
      <c r="D12" s="69">
        <v>3</v>
      </c>
      <c r="E12" s="69">
        <v>5</v>
      </c>
      <c r="F12" s="69">
        <v>2</v>
      </c>
      <c r="G12" s="69">
        <v>2</v>
      </c>
      <c r="H12" s="69">
        <v>3</v>
      </c>
      <c r="I12" s="105"/>
      <c r="J12" s="69"/>
      <c r="K12" s="69"/>
      <c r="L12" s="69"/>
      <c r="M12" s="69"/>
      <c r="N12" s="105"/>
      <c r="O12" s="69"/>
      <c r="P12" s="69"/>
      <c r="Q12" s="69"/>
      <c r="R12" s="105"/>
      <c r="S12" s="69"/>
      <c r="T12" s="69"/>
      <c r="U12" s="105"/>
      <c r="V12" s="69"/>
      <c r="W12" s="105"/>
      <c r="X12" s="69"/>
      <c r="Y12" s="69"/>
      <c r="Z12" s="69"/>
      <c r="AA12" s="105"/>
      <c r="AB12" s="69"/>
      <c r="AC12" s="69"/>
    </row>
    <row r="13" spans="1:29" s="2" customFormat="1" ht="20.25" customHeight="1" x14ac:dyDescent="0.3">
      <c r="A13" s="69" t="s">
        <v>24</v>
      </c>
      <c r="B13" s="69">
        <v>3</v>
      </c>
      <c r="C13" s="69">
        <v>6</v>
      </c>
      <c r="D13" s="69">
        <v>2</v>
      </c>
      <c r="E13" s="69">
        <v>0</v>
      </c>
      <c r="F13" s="69">
        <v>1</v>
      </c>
      <c r="G13" s="69">
        <v>2</v>
      </c>
      <c r="H13" s="69">
        <v>3</v>
      </c>
      <c r="I13" s="105"/>
      <c r="J13" s="69"/>
      <c r="K13" s="69"/>
      <c r="L13" s="69"/>
      <c r="M13" s="69"/>
      <c r="N13" s="105"/>
      <c r="O13" s="69"/>
      <c r="P13" s="69"/>
      <c r="Q13" s="69"/>
      <c r="R13" s="105"/>
      <c r="S13" s="69"/>
      <c r="T13" s="69"/>
      <c r="U13" s="105"/>
      <c r="V13" s="69"/>
      <c r="W13" s="105"/>
      <c r="X13" s="69"/>
      <c r="Y13" s="69"/>
      <c r="Z13" s="69"/>
      <c r="AA13" s="105"/>
      <c r="AB13" s="69"/>
      <c r="AC13" s="69"/>
    </row>
    <row r="14" spans="1:29" s="2" customFormat="1" ht="20.25" customHeight="1" x14ac:dyDescent="0.3">
      <c r="A14" s="69" t="s">
        <v>25</v>
      </c>
      <c r="B14" s="69">
        <v>4</v>
      </c>
      <c r="C14" s="69">
        <v>6</v>
      </c>
      <c r="D14" s="69">
        <v>3</v>
      </c>
      <c r="E14" s="69">
        <v>6</v>
      </c>
      <c r="F14" s="69">
        <v>3</v>
      </c>
      <c r="G14" s="69">
        <v>4</v>
      </c>
      <c r="H14" s="69">
        <v>3</v>
      </c>
      <c r="I14" s="105"/>
      <c r="J14" s="69"/>
      <c r="K14" s="69"/>
      <c r="L14" s="69"/>
      <c r="M14" s="69"/>
      <c r="N14" s="105"/>
      <c r="O14" s="69"/>
      <c r="P14" s="69"/>
      <c r="Q14" s="69"/>
      <c r="R14" s="105"/>
      <c r="S14" s="69"/>
      <c r="T14" s="69"/>
      <c r="U14" s="105"/>
      <c r="V14" s="69"/>
      <c r="W14" s="105"/>
      <c r="X14" s="69"/>
      <c r="Y14" s="69"/>
      <c r="Z14" s="69"/>
      <c r="AA14" s="105"/>
      <c r="AB14" s="69"/>
      <c r="AC14" s="69"/>
    </row>
    <row r="15" spans="1:29" s="2" customFormat="1" ht="20.25" customHeight="1" x14ac:dyDescent="0.3">
      <c r="A15" s="69" t="s">
        <v>26</v>
      </c>
      <c r="B15" s="69">
        <v>4</v>
      </c>
      <c r="C15" s="69">
        <v>6</v>
      </c>
      <c r="D15" s="69">
        <v>5</v>
      </c>
      <c r="E15" s="69">
        <v>6</v>
      </c>
      <c r="F15" s="69">
        <v>4</v>
      </c>
      <c r="G15" s="69">
        <v>5</v>
      </c>
      <c r="H15" s="69">
        <v>3</v>
      </c>
      <c r="I15" s="105"/>
      <c r="J15" s="69"/>
      <c r="K15" s="69"/>
      <c r="L15" s="106"/>
      <c r="M15" s="106"/>
      <c r="N15" s="105"/>
      <c r="O15" s="69"/>
      <c r="P15" s="106"/>
      <c r="Q15" s="106"/>
      <c r="R15" s="105"/>
      <c r="S15" s="69"/>
      <c r="T15" s="69"/>
      <c r="U15" s="105"/>
      <c r="V15" s="106"/>
      <c r="W15" s="105"/>
      <c r="X15" s="106"/>
      <c r="Y15" s="69"/>
      <c r="Z15" s="106"/>
      <c r="AA15" s="105"/>
      <c r="AB15" s="106"/>
      <c r="AC15" s="69"/>
    </row>
    <row r="16" spans="1:29" s="2" customFormat="1" ht="20.25" customHeight="1" x14ac:dyDescent="0.3">
      <c r="A16" s="69" t="s">
        <v>27</v>
      </c>
      <c r="B16" s="69">
        <v>4</v>
      </c>
      <c r="C16" s="69">
        <v>3</v>
      </c>
      <c r="D16" s="69">
        <v>1</v>
      </c>
      <c r="E16" s="69">
        <v>2</v>
      </c>
      <c r="F16" s="69">
        <v>2</v>
      </c>
      <c r="G16" s="69">
        <v>2</v>
      </c>
      <c r="H16" s="69">
        <v>3</v>
      </c>
      <c r="I16" s="105"/>
      <c r="J16" s="69"/>
      <c r="K16" s="69"/>
      <c r="L16" s="106"/>
      <c r="M16" s="106"/>
      <c r="N16" s="105"/>
      <c r="O16" s="69"/>
      <c r="P16" s="106"/>
      <c r="Q16" s="106"/>
      <c r="R16" s="105"/>
      <c r="S16" s="69"/>
      <c r="T16" s="69"/>
      <c r="U16" s="105"/>
      <c r="V16" s="106"/>
      <c r="W16" s="105"/>
      <c r="X16" s="106"/>
      <c r="Y16" s="69"/>
      <c r="Z16" s="106"/>
      <c r="AA16" s="105"/>
      <c r="AB16" s="106"/>
      <c r="AC16" s="69"/>
    </row>
    <row r="17" spans="1:29" s="2" customFormat="1" ht="20.25" customHeight="1" x14ac:dyDescent="0.3">
      <c r="A17" s="69" t="s">
        <v>28</v>
      </c>
      <c r="B17" s="69">
        <v>3</v>
      </c>
      <c r="C17" s="69">
        <v>6</v>
      </c>
      <c r="D17" s="69">
        <v>2</v>
      </c>
      <c r="E17" s="69">
        <v>4</v>
      </c>
      <c r="F17" s="69">
        <v>2</v>
      </c>
      <c r="G17" s="69">
        <v>1</v>
      </c>
      <c r="H17" s="69">
        <v>2</v>
      </c>
      <c r="I17" s="105"/>
      <c r="J17" s="69"/>
      <c r="K17" s="69"/>
      <c r="L17" s="106"/>
      <c r="M17" s="106"/>
      <c r="N17" s="105"/>
      <c r="O17" s="69"/>
      <c r="P17" s="106"/>
      <c r="Q17" s="106"/>
      <c r="R17" s="105"/>
      <c r="S17" s="69"/>
      <c r="T17" s="69"/>
      <c r="U17" s="105"/>
      <c r="V17" s="106"/>
      <c r="W17" s="105"/>
      <c r="X17" s="106"/>
      <c r="Y17" s="69"/>
      <c r="Z17" s="106"/>
      <c r="AA17" s="105"/>
      <c r="AB17" s="106"/>
      <c r="AC17" s="69"/>
    </row>
    <row r="18" spans="1:29" s="2" customFormat="1" ht="20.25" customHeight="1" x14ac:dyDescent="0.3">
      <c r="A18" s="69" t="s">
        <v>29</v>
      </c>
      <c r="B18" s="69">
        <v>3</v>
      </c>
      <c r="C18" s="69">
        <v>5</v>
      </c>
      <c r="D18" s="69">
        <v>3</v>
      </c>
      <c r="E18" s="69">
        <v>6</v>
      </c>
      <c r="F18" s="69">
        <v>4</v>
      </c>
      <c r="G18" s="69">
        <v>4</v>
      </c>
      <c r="H18" s="69">
        <v>2</v>
      </c>
      <c r="I18" s="105"/>
      <c r="J18" s="69"/>
      <c r="K18" s="69"/>
      <c r="L18" s="106"/>
      <c r="M18" s="106"/>
      <c r="N18" s="105"/>
      <c r="O18" s="69"/>
      <c r="P18" s="106"/>
      <c r="Q18" s="106"/>
      <c r="R18" s="105"/>
      <c r="S18" s="69"/>
      <c r="T18" s="69"/>
      <c r="U18" s="105"/>
      <c r="V18" s="106"/>
      <c r="W18" s="105"/>
      <c r="X18" s="106"/>
      <c r="Y18" s="69"/>
      <c r="Z18" s="106"/>
      <c r="AA18" s="105"/>
      <c r="AB18" s="106"/>
      <c r="AC18" s="69"/>
    </row>
    <row r="19" spans="1:29" s="2" customFormat="1" ht="20.25" customHeight="1" x14ac:dyDescent="0.3">
      <c r="A19" s="69" t="s">
        <v>30</v>
      </c>
      <c r="B19" s="69"/>
      <c r="C19" s="69"/>
      <c r="D19" s="69"/>
      <c r="E19" s="69"/>
      <c r="F19" s="69"/>
      <c r="G19" s="69"/>
      <c r="H19" s="69"/>
      <c r="I19" s="105"/>
      <c r="J19" s="69"/>
      <c r="K19" s="69"/>
      <c r="L19" s="106"/>
      <c r="M19" s="106"/>
      <c r="N19" s="105"/>
      <c r="O19" s="69"/>
      <c r="P19" s="106"/>
      <c r="Q19" s="106"/>
      <c r="R19" s="105"/>
      <c r="S19" s="69"/>
      <c r="T19" s="69"/>
      <c r="U19" s="105"/>
      <c r="V19" s="106"/>
      <c r="W19" s="105"/>
      <c r="X19" s="106"/>
      <c r="Y19" s="69"/>
      <c r="Z19" s="106"/>
      <c r="AA19" s="105"/>
      <c r="AB19" s="106"/>
      <c r="AC19" s="69"/>
    </row>
    <row r="20" spans="1:29" s="2" customFormat="1" ht="20.25" customHeight="1" x14ac:dyDescent="0.3">
      <c r="A20" s="69" t="s">
        <v>31</v>
      </c>
      <c r="B20" s="69"/>
      <c r="C20" s="69"/>
      <c r="D20" s="69"/>
      <c r="E20" s="69"/>
      <c r="F20" s="69"/>
      <c r="G20" s="69"/>
      <c r="H20" s="69"/>
      <c r="I20" s="105"/>
      <c r="J20" s="69"/>
      <c r="K20" s="69"/>
      <c r="L20" s="106"/>
      <c r="M20" s="106"/>
      <c r="N20" s="105"/>
      <c r="O20" s="69"/>
      <c r="P20" s="106"/>
      <c r="Q20" s="106"/>
      <c r="R20" s="105"/>
      <c r="S20" s="69"/>
      <c r="T20" s="69"/>
      <c r="U20" s="105"/>
      <c r="V20" s="106"/>
      <c r="W20" s="105"/>
      <c r="X20" s="106"/>
      <c r="Y20" s="69"/>
      <c r="Z20" s="106"/>
      <c r="AA20" s="105"/>
      <c r="AB20" s="106"/>
      <c r="AC20" s="69"/>
    </row>
    <row r="21" spans="1:29" s="2" customFormat="1" ht="20.25" customHeight="1" x14ac:dyDescent="0.3">
      <c r="A21" s="69" t="s">
        <v>32</v>
      </c>
      <c r="B21" s="69"/>
      <c r="C21" s="69"/>
      <c r="D21" s="69"/>
      <c r="E21" s="69"/>
      <c r="F21" s="69"/>
      <c r="G21" s="69"/>
      <c r="H21" s="69"/>
      <c r="I21" s="105"/>
      <c r="J21" s="69"/>
      <c r="K21" s="69"/>
      <c r="L21" s="106"/>
      <c r="M21" s="106"/>
      <c r="N21" s="105"/>
      <c r="O21" s="69"/>
      <c r="P21" s="106"/>
      <c r="Q21" s="106"/>
      <c r="R21" s="105"/>
      <c r="S21" s="69"/>
      <c r="T21" s="69"/>
      <c r="U21" s="105"/>
      <c r="V21" s="106"/>
      <c r="W21" s="105"/>
      <c r="X21" s="106"/>
      <c r="Y21" s="69"/>
      <c r="Z21" s="106"/>
      <c r="AA21" s="105"/>
      <c r="AB21" s="106"/>
      <c r="AC21" s="69"/>
    </row>
    <row r="22" spans="1:29" s="2" customFormat="1" ht="20.25" customHeight="1" x14ac:dyDescent="0.3">
      <c r="A22" s="69" t="s">
        <v>33</v>
      </c>
      <c r="B22" s="69"/>
      <c r="C22" s="69"/>
      <c r="D22" s="69"/>
      <c r="E22" s="69"/>
      <c r="F22" s="69"/>
      <c r="G22" s="69"/>
      <c r="H22" s="69"/>
      <c r="I22" s="105"/>
      <c r="J22" s="69"/>
      <c r="K22" s="69"/>
      <c r="L22" s="106"/>
      <c r="M22" s="106"/>
      <c r="N22" s="105"/>
      <c r="O22" s="69"/>
      <c r="P22" s="106"/>
      <c r="Q22" s="106"/>
      <c r="R22" s="105"/>
      <c r="S22" s="69"/>
      <c r="T22" s="69"/>
      <c r="U22" s="105"/>
      <c r="V22" s="106"/>
      <c r="W22" s="105"/>
      <c r="X22" s="106"/>
      <c r="Y22" s="69"/>
      <c r="Z22" s="106"/>
      <c r="AA22" s="105"/>
      <c r="AB22" s="106"/>
      <c r="AC22" s="69"/>
    </row>
    <row r="23" spans="1:29" s="2" customFormat="1" ht="20.25" customHeight="1" x14ac:dyDescent="0.3">
      <c r="A23" s="69" t="s">
        <v>34</v>
      </c>
      <c r="B23" s="69"/>
      <c r="C23" s="69"/>
      <c r="D23" s="69"/>
      <c r="E23" s="69"/>
      <c r="F23" s="69"/>
      <c r="G23" s="69"/>
      <c r="H23" s="69"/>
      <c r="I23" s="105"/>
      <c r="J23" s="69"/>
      <c r="K23" s="69"/>
      <c r="L23" s="106"/>
      <c r="M23" s="106"/>
      <c r="N23" s="105"/>
      <c r="O23" s="69"/>
      <c r="P23" s="106"/>
      <c r="Q23" s="106"/>
      <c r="R23" s="105"/>
      <c r="S23" s="69"/>
      <c r="T23" s="69"/>
      <c r="U23" s="105"/>
      <c r="V23" s="106"/>
      <c r="W23" s="105"/>
      <c r="X23" s="106"/>
      <c r="Y23" s="69"/>
      <c r="Z23" s="106"/>
      <c r="AA23" s="105"/>
      <c r="AB23" s="106"/>
      <c r="AC23" s="69"/>
    </row>
    <row r="24" spans="1:29" s="2" customFormat="1" ht="20.25" customHeight="1" x14ac:dyDescent="0.3">
      <c r="A24" s="69" t="s">
        <v>35</v>
      </c>
      <c r="B24" s="69"/>
      <c r="C24" s="69"/>
      <c r="D24" s="69"/>
      <c r="E24" s="69"/>
      <c r="F24" s="69"/>
      <c r="G24" s="69"/>
      <c r="H24" s="69"/>
      <c r="I24" s="105"/>
      <c r="J24" s="69"/>
      <c r="K24" s="69"/>
      <c r="L24" s="106"/>
      <c r="M24" s="106"/>
      <c r="N24" s="105"/>
      <c r="O24" s="69"/>
      <c r="P24" s="106"/>
      <c r="Q24" s="106"/>
      <c r="R24" s="105"/>
      <c r="S24" s="69"/>
      <c r="T24" s="69"/>
      <c r="U24" s="105"/>
      <c r="V24" s="106"/>
      <c r="W24" s="105"/>
      <c r="X24" s="106"/>
      <c r="Y24" s="69"/>
      <c r="Z24" s="106"/>
      <c r="AA24" s="105"/>
      <c r="AB24" s="106"/>
      <c r="AC24" s="69"/>
    </row>
    <row r="25" spans="1:29" s="2" customFormat="1" ht="20.25" customHeight="1" x14ac:dyDescent="0.3">
      <c r="A25" s="69" t="s">
        <v>36</v>
      </c>
      <c r="B25" s="69"/>
      <c r="C25" s="69"/>
      <c r="D25" s="69"/>
      <c r="E25" s="69"/>
      <c r="F25" s="69"/>
      <c r="G25" s="69"/>
      <c r="H25" s="69"/>
      <c r="I25" s="105"/>
      <c r="J25" s="69"/>
      <c r="K25" s="69"/>
      <c r="L25" s="106"/>
      <c r="M25" s="106"/>
      <c r="N25" s="105"/>
      <c r="O25" s="69"/>
      <c r="P25" s="106"/>
      <c r="Q25" s="106"/>
      <c r="R25" s="105"/>
      <c r="S25" s="69"/>
      <c r="T25" s="69"/>
      <c r="U25" s="105"/>
      <c r="V25" s="106"/>
      <c r="W25" s="105"/>
      <c r="X25" s="106"/>
      <c r="Y25" s="69"/>
      <c r="Z25" s="106"/>
      <c r="AA25" s="105"/>
      <c r="AB25" s="106"/>
      <c r="AC25" s="69"/>
    </row>
    <row r="26" spans="1:29" s="2" customFormat="1" ht="20.25" customHeight="1" x14ac:dyDescent="0.3">
      <c r="A26" s="69" t="s">
        <v>37</v>
      </c>
      <c r="B26" s="69"/>
      <c r="C26" s="69"/>
      <c r="D26" s="69"/>
      <c r="E26" s="69"/>
      <c r="F26" s="69"/>
      <c r="G26" s="69"/>
      <c r="H26" s="69"/>
      <c r="I26" s="105"/>
      <c r="J26" s="69"/>
      <c r="K26" s="69"/>
      <c r="L26" s="106"/>
      <c r="M26" s="106"/>
      <c r="N26" s="105"/>
      <c r="O26" s="69"/>
      <c r="P26" s="106"/>
      <c r="Q26" s="106"/>
      <c r="R26" s="105"/>
      <c r="S26" s="69"/>
      <c r="T26" s="69"/>
      <c r="U26" s="105"/>
      <c r="V26" s="106"/>
      <c r="W26" s="105"/>
      <c r="X26" s="106"/>
      <c r="Y26" s="69"/>
      <c r="Z26" s="106"/>
      <c r="AA26" s="105"/>
      <c r="AB26" s="106"/>
      <c r="AC26" s="69"/>
    </row>
    <row r="27" spans="1:29" s="2" customFormat="1" ht="20.25" customHeight="1" x14ac:dyDescent="0.3">
      <c r="A27" s="69" t="s">
        <v>38</v>
      </c>
      <c r="B27" s="69"/>
      <c r="C27" s="69"/>
      <c r="D27" s="69"/>
      <c r="E27" s="69"/>
      <c r="F27" s="69"/>
      <c r="G27" s="69"/>
      <c r="H27" s="69"/>
      <c r="I27" s="105"/>
      <c r="J27" s="69"/>
      <c r="K27" s="69"/>
      <c r="L27" s="106"/>
      <c r="M27" s="106"/>
      <c r="N27" s="105"/>
      <c r="O27" s="69"/>
      <c r="P27" s="106"/>
      <c r="Q27" s="106"/>
      <c r="R27" s="105"/>
      <c r="S27" s="69"/>
      <c r="T27" s="69"/>
      <c r="U27" s="105"/>
      <c r="V27" s="106"/>
      <c r="W27" s="105"/>
      <c r="X27" s="106"/>
      <c r="Y27" s="69"/>
      <c r="Z27" s="106"/>
      <c r="AA27" s="105"/>
      <c r="AB27" s="106"/>
      <c r="AC27" s="69"/>
    </row>
    <row r="28" spans="1:29" s="2" customFormat="1" ht="20.25" customHeight="1" x14ac:dyDescent="0.3">
      <c r="A28" s="69" t="s">
        <v>39</v>
      </c>
      <c r="B28" s="69"/>
      <c r="C28" s="69"/>
      <c r="D28" s="69"/>
      <c r="E28" s="69"/>
      <c r="F28" s="69"/>
      <c r="G28" s="69"/>
      <c r="H28" s="69"/>
      <c r="I28" s="105"/>
      <c r="J28" s="69"/>
      <c r="K28" s="69"/>
      <c r="L28" s="106"/>
      <c r="M28" s="106"/>
      <c r="N28" s="105"/>
      <c r="O28" s="69"/>
      <c r="P28" s="106"/>
      <c r="Q28" s="106"/>
      <c r="R28" s="105"/>
      <c r="S28" s="69"/>
      <c r="T28" s="69"/>
      <c r="U28" s="105"/>
      <c r="V28" s="106"/>
      <c r="W28" s="105"/>
      <c r="X28" s="106"/>
      <c r="Y28" s="69"/>
      <c r="Z28" s="106"/>
      <c r="AA28" s="105"/>
      <c r="AB28" s="106"/>
      <c r="AC28" s="69"/>
    </row>
    <row r="29" spans="1:29" s="2" customFormat="1" ht="20.25" customHeight="1" x14ac:dyDescent="0.3">
      <c r="A29" s="69" t="s">
        <v>40</v>
      </c>
      <c r="B29" s="69"/>
      <c r="C29" s="69"/>
      <c r="D29" s="69"/>
      <c r="E29" s="69"/>
      <c r="F29" s="69"/>
      <c r="G29" s="69"/>
      <c r="H29" s="69"/>
      <c r="I29" s="105"/>
      <c r="J29" s="69"/>
      <c r="K29" s="69"/>
      <c r="L29" s="106"/>
      <c r="M29" s="106"/>
      <c r="N29" s="105"/>
      <c r="O29" s="69"/>
      <c r="P29" s="106"/>
      <c r="Q29" s="106"/>
      <c r="R29" s="105"/>
      <c r="S29" s="69"/>
      <c r="T29" s="69"/>
      <c r="U29" s="105"/>
      <c r="V29" s="106"/>
      <c r="W29" s="105"/>
      <c r="X29" s="106"/>
      <c r="Y29" s="69"/>
      <c r="Z29" s="106"/>
      <c r="AA29" s="105"/>
      <c r="AB29" s="106"/>
      <c r="AC29" s="69"/>
    </row>
    <row r="30" spans="1:29" s="2" customFormat="1" ht="20.25" customHeight="1" x14ac:dyDescent="0.3">
      <c r="A30" s="69" t="s">
        <v>41</v>
      </c>
      <c r="B30" s="69"/>
      <c r="C30" s="69"/>
      <c r="D30" s="69"/>
      <c r="E30" s="69"/>
      <c r="F30" s="69"/>
      <c r="G30" s="69"/>
      <c r="H30" s="69"/>
      <c r="I30" s="105"/>
      <c r="J30" s="69"/>
      <c r="K30" s="69"/>
      <c r="L30" s="106"/>
      <c r="M30" s="106"/>
      <c r="N30" s="105"/>
      <c r="O30" s="69"/>
      <c r="P30" s="106"/>
      <c r="Q30" s="106"/>
      <c r="R30" s="105"/>
      <c r="S30" s="69"/>
      <c r="T30" s="69"/>
      <c r="U30" s="105"/>
      <c r="V30" s="106"/>
      <c r="W30" s="105"/>
      <c r="X30" s="106"/>
      <c r="Y30" s="69"/>
      <c r="Z30" s="106"/>
      <c r="AA30" s="105"/>
      <c r="AB30" s="106"/>
      <c r="AC30" s="69"/>
    </row>
    <row r="31" spans="1:29" s="2" customFormat="1" ht="20.25" customHeight="1" x14ac:dyDescent="0.3">
      <c r="A31" s="69" t="s">
        <v>42</v>
      </c>
      <c r="B31" s="69"/>
      <c r="C31" s="69"/>
      <c r="D31" s="69"/>
      <c r="E31" s="69"/>
      <c r="F31" s="69"/>
      <c r="G31" s="69"/>
      <c r="H31" s="69"/>
      <c r="I31" s="105"/>
      <c r="J31" s="69"/>
      <c r="K31" s="69"/>
      <c r="L31" s="106"/>
      <c r="M31" s="106"/>
      <c r="N31" s="105"/>
      <c r="O31" s="69"/>
      <c r="P31" s="106"/>
      <c r="Q31" s="106"/>
      <c r="R31" s="105"/>
      <c r="S31" s="69"/>
      <c r="T31" s="69"/>
      <c r="U31" s="105"/>
      <c r="V31" s="106"/>
      <c r="W31" s="105"/>
      <c r="X31" s="106"/>
      <c r="Y31" s="69"/>
      <c r="Z31" s="106"/>
      <c r="AA31" s="105"/>
      <c r="AB31" s="106"/>
      <c r="AC31" s="69"/>
    </row>
    <row r="32" spans="1:29" s="2" customFormat="1" ht="20.25" customHeight="1" x14ac:dyDescent="0.3">
      <c r="A32" s="69" t="s">
        <v>43</v>
      </c>
      <c r="B32" s="69"/>
      <c r="C32" s="69"/>
      <c r="D32" s="69"/>
      <c r="E32" s="69"/>
      <c r="F32" s="69"/>
      <c r="G32" s="69"/>
      <c r="H32" s="69"/>
      <c r="I32" s="105"/>
      <c r="J32" s="69"/>
      <c r="K32" s="69"/>
      <c r="L32" s="106"/>
      <c r="M32" s="106"/>
      <c r="N32" s="105"/>
      <c r="O32" s="69"/>
      <c r="P32" s="106"/>
      <c r="Q32" s="106"/>
      <c r="R32" s="105"/>
      <c r="S32" s="69"/>
      <c r="T32" s="69"/>
      <c r="U32" s="105"/>
      <c r="V32" s="106"/>
      <c r="W32" s="105"/>
      <c r="X32" s="106"/>
      <c r="Y32" s="69"/>
      <c r="Z32" s="106"/>
      <c r="AA32" s="105"/>
      <c r="AB32" s="106"/>
      <c r="AC32" s="69"/>
    </row>
    <row r="33" spans="1:29" s="2" customFormat="1" ht="20.25" customHeight="1" x14ac:dyDescent="0.3">
      <c r="A33" s="69" t="s">
        <v>44</v>
      </c>
      <c r="B33" s="69"/>
      <c r="C33" s="69"/>
      <c r="D33" s="69"/>
      <c r="E33" s="69"/>
      <c r="F33" s="69"/>
      <c r="G33" s="69"/>
      <c r="H33" s="69"/>
      <c r="I33" s="105"/>
      <c r="J33" s="69"/>
      <c r="K33" s="69"/>
      <c r="L33" s="106"/>
      <c r="M33" s="106"/>
      <c r="N33" s="105"/>
      <c r="O33" s="69"/>
      <c r="P33" s="106"/>
      <c r="Q33" s="106"/>
      <c r="R33" s="105"/>
      <c r="S33" s="69"/>
      <c r="T33" s="69"/>
      <c r="U33" s="105"/>
      <c r="V33" s="106"/>
      <c r="W33" s="105"/>
      <c r="X33" s="106"/>
      <c r="Y33" s="69"/>
      <c r="Z33" s="106"/>
      <c r="AA33" s="105"/>
      <c r="AB33" s="106"/>
      <c r="AC33" s="69"/>
    </row>
    <row r="34" spans="1:29" s="2" customFormat="1" ht="20.25" customHeight="1" x14ac:dyDescent="0.3">
      <c r="A34" s="69" t="s">
        <v>45</v>
      </c>
      <c r="B34" s="69"/>
      <c r="C34" s="69"/>
      <c r="D34" s="69"/>
      <c r="E34" s="69"/>
      <c r="F34" s="69"/>
      <c r="G34" s="69"/>
      <c r="H34" s="69"/>
      <c r="I34" s="105"/>
      <c r="J34" s="69"/>
      <c r="K34" s="69"/>
      <c r="L34" s="106"/>
      <c r="M34" s="106"/>
      <c r="N34" s="105"/>
      <c r="O34" s="69"/>
      <c r="P34" s="106"/>
      <c r="Q34" s="106"/>
      <c r="R34" s="105"/>
      <c r="S34" s="69"/>
      <c r="T34" s="69"/>
      <c r="U34" s="105"/>
      <c r="V34" s="106"/>
      <c r="W34" s="105"/>
      <c r="X34" s="106"/>
      <c r="Y34" s="69"/>
      <c r="Z34" s="106"/>
      <c r="AA34" s="105"/>
      <c r="AB34" s="106"/>
      <c r="AC34" s="69"/>
    </row>
    <row r="35" spans="1:29" s="2" customFormat="1" ht="20.25" customHeight="1" x14ac:dyDescent="0.3">
      <c r="A35" s="69" t="s">
        <v>46</v>
      </c>
      <c r="B35" s="69"/>
      <c r="C35" s="69"/>
      <c r="D35" s="69"/>
      <c r="E35" s="69"/>
      <c r="F35" s="69"/>
      <c r="G35" s="69"/>
      <c r="H35" s="69"/>
      <c r="I35" s="105"/>
      <c r="J35" s="69"/>
      <c r="K35" s="69"/>
      <c r="L35" s="106"/>
      <c r="M35" s="106"/>
      <c r="N35" s="105"/>
      <c r="O35" s="69"/>
      <c r="P35" s="106"/>
      <c r="Q35" s="106"/>
      <c r="R35" s="105"/>
      <c r="S35" s="69"/>
      <c r="T35" s="69"/>
      <c r="U35" s="105"/>
      <c r="V35" s="106"/>
      <c r="W35" s="105"/>
      <c r="X35" s="106"/>
      <c r="Y35" s="69"/>
      <c r="Z35" s="106"/>
      <c r="AA35" s="105"/>
      <c r="AB35" s="106"/>
      <c r="AC35" s="69"/>
    </row>
    <row r="36" spans="1:29" s="2" customFormat="1" ht="20.25" customHeight="1" x14ac:dyDescent="0.3">
      <c r="A36" s="69" t="s">
        <v>47</v>
      </c>
      <c r="B36" s="69"/>
      <c r="C36" s="69"/>
      <c r="D36" s="69"/>
      <c r="E36" s="69"/>
      <c r="F36" s="69"/>
      <c r="G36" s="69"/>
      <c r="H36" s="69"/>
      <c r="I36" s="105"/>
      <c r="J36" s="69"/>
      <c r="K36" s="69"/>
      <c r="L36" s="106"/>
      <c r="M36" s="106"/>
      <c r="N36" s="105"/>
      <c r="O36" s="69"/>
      <c r="P36" s="106"/>
      <c r="Q36" s="106"/>
      <c r="R36" s="105"/>
      <c r="S36" s="69"/>
      <c r="T36" s="69"/>
      <c r="U36" s="105"/>
      <c r="V36" s="106"/>
      <c r="W36" s="105"/>
      <c r="X36" s="106"/>
      <c r="Y36" s="69"/>
      <c r="Z36" s="106"/>
      <c r="AA36" s="105"/>
      <c r="AB36" s="106"/>
      <c r="AC36" s="69"/>
    </row>
    <row r="37" spans="1:29" s="2" customFormat="1" ht="20.25" customHeight="1" x14ac:dyDescent="0.3">
      <c r="A37" s="69" t="s">
        <v>48</v>
      </c>
      <c r="B37" s="69"/>
      <c r="C37" s="69"/>
      <c r="D37" s="69"/>
      <c r="E37" s="69"/>
      <c r="F37" s="69"/>
      <c r="G37" s="69"/>
      <c r="H37" s="69"/>
      <c r="I37" s="105"/>
      <c r="J37" s="69"/>
      <c r="K37" s="69"/>
      <c r="L37" s="106"/>
      <c r="M37" s="106"/>
      <c r="N37" s="105"/>
      <c r="O37" s="69"/>
      <c r="P37" s="106"/>
      <c r="Q37" s="106"/>
      <c r="R37" s="105"/>
      <c r="S37" s="69"/>
      <c r="T37" s="69"/>
      <c r="U37" s="105"/>
      <c r="V37" s="106"/>
      <c r="W37" s="105"/>
      <c r="X37" s="106"/>
      <c r="Y37" s="69"/>
      <c r="Z37" s="106"/>
      <c r="AA37" s="105"/>
      <c r="AB37" s="106"/>
      <c r="AC37" s="69"/>
    </row>
    <row r="38" spans="1:29" s="2" customFormat="1" ht="20.25" customHeight="1" x14ac:dyDescent="0.3">
      <c r="A38" s="69" t="s">
        <v>49</v>
      </c>
      <c r="B38" s="69"/>
      <c r="C38" s="69"/>
      <c r="D38" s="69"/>
      <c r="E38" s="69"/>
      <c r="F38" s="69"/>
      <c r="G38" s="69"/>
      <c r="H38" s="69"/>
      <c r="I38" s="105"/>
      <c r="J38" s="69"/>
      <c r="K38" s="69"/>
      <c r="L38" s="106"/>
      <c r="M38" s="106"/>
      <c r="N38" s="105"/>
      <c r="O38" s="69"/>
      <c r="P38" s="106"/>
      <c r="Q38" s="106"/>
      <c r="R38" s="105"/>
      <c r="S38" s="69"/>
      <c r="T38" s="69"/>
      <c r="U38" s="105"/>
      <c r="V38" s="106"/>
      <c r="W38" s="105"/>
      <c r="X38" s="106"/>
      <c r="Y38" s="69"/>
      <c r="Z38" s="106"/>
      <c r="AA38" s="105"/>
      <c r="AB38" s="106"/>
      <c r="AC38" s="69"/>
    </row>
    <row r="39" spans="1:29" s="2" customFormat="1" ht="20.25" customHeight="1" x14ac:dyDescent="0.3">
      <c r="A39" s="69" t="s">
        <v>50</v>
      </c>
      <c r="B39" s="69"/>
      <c r="C39" s="69"/>
      <c r="D39" s="69"/>
      <c r="E39" s="69"/>
      <c r="F39" s="69"/>
      <c r="G39" s="69"/>
      <c r="H39" s="69"/>
      <c r="I39" s="105"/>
      <c r="J39" s="69"/>
      <c r="K39" s="69"/>
      <c r="L39" s="106"/>
      <c r="M39" s="106"/>
      <c r="N39" s="105"/>
      <c r="O39" s="69"/>
      <c r="P39" s="106"/>
      <c r="Q39" s="106"/>
      <c r="R39" s="105"/>
      <c r="S39" s="69"/>
      <c r="T39" s="69"/>
      <c r="U39" s="105"/>
      <c r="V39" s="106"/>
      <c r="W39" s="105"/>
      <c r="X39" s="106"/>
      <c r="Y39" s="69"/>
      <c r="Z39" s="106"/>
      <c r="AA39" s="105"/>
      <c r="AB39" s="106"/>
      <c r="AC39" s="69"/>
    </row>
    <row r="40" spans="1:29" s="2" customFormat="1" ht="20.25" customHeight="1" x14ac:dyDescent="0.3">
      <c r="A40" s="69" t="s">
        <v>51</v>
      </c>
      <c r="B40" s="69"/>
      <c r="C40" s="69"/>
      <c r="D40" s="69"/>
      <c r="E40" s="69"/>
      <c r="F40" s="69"/>
      <c r="G40" s="69"/>
      <c r="H40" s="69"/>
      <c r="I40" s="105"/>
      <c r="J40" s="69"/>
      <c r="K40" s="69"/>
      <c r="L40" s="106"/>
      <c r="M40" s="106"/>
      <c r="N40" s="105"/>
      <c r="O40" s="69"/>
      <c r="P40" s="106"/>
      <c r="Q40" s="106"/>
      <c r="R40" s="105"/>
      <c r="S40" s="69"/>
      <c r="T40" s="69"/>
      <c r="U40" s="105"/>
      <c r="V40" s="106"/>
      <c r="W40" s="105"/>
      <c r="X40" s="106"/>
      <c r="Y40" s="69"/>
      <c r="Z40" s="106"/>
      <c r="AA40" s="105"/>
      <c r="AB40" s="106"/>
      <c r="AC40" s="69"/>
    </row>
    <row r="41" spans="1:29" s="2" customFormat="1" ht="20.25" customHeight="1" x14ac:dyDescent="0.3">
      <c r="A41" s="69" t="s">
        <v>52</v>
      </c>
      <c r="B41" s="69"/>
      <c r="C41" s="69"/>
      <c r="D41" s="69"/>
      <c r="E41" s="69"/>
      <c r="F41" s="69"/>
      <c r="G41" s="69"/>
      <c r="H41" s="69"/>
      <c r="I41" s="105"/>
      <c r="J41" s="69"/>
      <c r="K41" s="69"/>
      <c r="L41" s="106"/>
      <c r="M41" s="106"/>
      <c r="N41" s="105"/>
      <c r="O41" s="69"/>
      <c r="P41" s="106"/>
      <c r="Q41" s="106"/>
      <c r="R41" s="105"/>
      <c r="S41" s="69"/>
      <c r="T41" s="69"/>
      <c r="U41" s="105"/>
      <c r="V41" s="106"/>
      <c r="W41" s="105"/>
      <c r="X41" s="106"/>
      <c r="Y41" s="69"/>
      <c r="Z41" s="106"/>
      <c r="AA41" s="105"/>
      <c r="AB41" s="106"/>
      <c r="AC41" s="69"/>
    </row>
    <row r="42" spans="1:29" s="2" customFormat="1" ht="20.25" customHeight="1" x14ac:dyDescent="0.3">
      <c r="A42" s="69" t="s">
        <v>53</v>
      </c>
      <c r="B42" s="69"/>
      <c r="C42" s="69"/>
      <c r="D42" s="69"/>
      <c r="E42" s="69"/>
      <c r="F42" s="69"/>
      <c r="G42" s="69"/>
      <c r="H42" s="69"/>
      <c r="I42" s="105"/>
      <c r="J42" s="69"/>
      <c r="K42" s="69"/>
      <c r="L42" s="106"/>
      <c r="M42" s="106"/>
      <c r="N42" s="105"/>
      <c r="O42" s="69"/>
      <c r="P42" s="106"/>
      <c r="Q42" s="106"/>
      <c r="R42" s="105"/>
      <c r="S42" s="69"/>
      <c r="T42" s="69"/>
      <c r="U42" s="105"/>
      <c r="V42" s="106"/>
      <c r="W42" s="105"/>
      <c r="X42" s="106"/>
      <c r="Y42" s="69"/>
      <c r="Z42" s="106"/>
      <c r="AA42" s="105"/>
      <c r="AB42" s="106"/>
      <c r="AC42" s="69"/>
    </row>
    <row r="43" spans="1:29" s="50" customFormat="1" ht="25.5" customHeight="1" x14ac:dyDescent="0.3">
      <c r="A43" s="114" t="s">
        <v>141</v>
      </c>
      <c r="B43" s="114">
        <f t="shared" ref="B43:H43" si="1">B6</f>
        <v>0.9</v>
      </c>
      <c r="C43" s="114">
        <f t="shared" si="1"/>
        <v>0.83333333333333337</v>
      </c>
      <c r="D43" s="114">
        <f t="shared" si="1"/>
        <v>0.55999999999999994</v>
      </c>
      <c r="E43" s="114">
        <f t="shared" si="1"/>
        <v>0.71666666666666667</v>
      </c>
      <c r="F43" s="114">
        <f t="shared" si="1"/>
        <v>0.6</v>
      </c>
      <c r="G43" s="114">
        <f t="shared" si="1"/>
        <v>0.62</v>
      </c>
      <c r="H43" s="114">
        <f t="shared" si="1"/>
        <v>0.93333333333333324</v>
      </c>
      <c r="I43" s="115"/>
      <c r="J43" s="114" t="str">
        <f>J6</f>
        <v>No Data</v>
      </c>
      <c r="K43" s="114" t="str">
        <f>K6</f>
        <v>No Data</v>
      </c>
      <c r="L43" s="114" t="str">
        <f>L6</f>
        <v>No Data</v>
      </c>
      <c r="M43" s="114" t="str">
        <f>M6</f>
        <v>No Data</v>
      </c>
      <c r="N43" s="115"/>
      <c r="O43" s="114">
        <f>O6</f>
        <v>0.625</v>
      </c>
      <c r="P43" s="114">
        <f>P6</f>
        <v>0.5</v>
      </c>
      <c r="Q43" s="114">
        <f>Q6</f>
        <v>0.5</v>
      </c>
      <c r="R43" s="115"/>
      <c r="S43" s="114" t="str">
        <f>S6</f>
        <v>No Data</v>
      </c>
      <c r="T43" s="114" t="str">
        <f>T6</f>
        <v>No Data</v>
      </c>
      <c r="U43" s="115"/>
      <c r="V43" s="114">
        <f>V6</f>
        <v>0.75</v>
      </c>
      <c r="W43" s="115"/>
      <c r="X43" s="114" t="str">
        <f>X6</f>
        <v>No Data</v>
      </c>
      <c r="Y43" s="114" t="str">
        <f>Y6</f>
        <v>No Data</v>
      </c>
      <c r="Z43" s="114" t="str">
        <f>Z6</f>
        <v>No Data</v>
      </c>
      <c r="AA43" s="115"/>
      <c r="AB43" s="114" t="str">
        <f>AB6</f>
        <v>No Data</v>
      </c>
      <c r="AC43" s="114" t="str">
        <f>AC6</f>
        <v>No Data</v>
      </c>
    </row>
    <row r="44" spans="1:29" ht="27" customHeight="1" x14ac:dyDescent="0.35">
      <c r="C44" s="1"/>
    </row>
    <row r="45" spans="1:29" ht="27" customHeight="1" x14ac:dyDescent="0.35">
      <c r="C45" s="1"/>
    </row>
    <row r="46" spans="1:29" ht="44.1" customHeight="1" x14ac:dyDescent="0.35">
      <c r="A46" s="10"/>
      <c r="B46" s="10"/>
      <c r="C46" s="9"/>
      <c r="D46" s="9"/>
      <c r="E46" s="9"/>
      <c r="F46" s="9"/>
      <c r="G46" s="9"/>
      <c r="H46" s="9"/>
    </row>
    <row r="47" spans="1:29" ht="45" customHeight="1" x14ac:dyDescent="0.35">
      <c r="A47" s="10"/>
      <c r="B47" s="10"/>
      <c r="C47" s="9"/>
      <c r="D47" s="9"/>
      <c r="E47" s="9"/>
    </row>
    <row r="48" spans="1:29" x14ac:dyDescent="0.35">
      <c r="C48" s="1"/>
    </row>
    <row r="49" spans="3:3" x14ac:dyDescent="0.35">
      <c r="C49" s="1"/>
    </row>
    <row r="50" spans="3:3" x14ac:dyDescent="0.35">
      <c r="C50" s="1"/>
    </row>
    <row r="51" spans="3:3" x14ac:dyDescent="0.35">
      <c r="C51" s="1"/>
    </row>
    <row r="52" spans="3:3" x14ac:dyDescent="0.35">
      <c r="C52" s="1"/>
    </row>
    <row r="53" spans="3:3" x14ac:dyDescent="0.35">
      <c r="C53" s="1"/>
    </row>
    <row r="54" spans="3:3" ht="29.25" customHeight="1" x14ac:dyDescent="0.35">
      <c r="C54" s="1"/>
    </row>
    <row r="55" spans="3:3" x14ac:dyDescent="0.35">
      <c r="C55" s="1"/>
    </row>
    <row r="56" spans="3:3" x14ac:dyDescent="0.35">
      <c r="C56" s="1"/>
    </row>
    <row r="57" spans="3:3" ht="45" customHeight="1" x14ac:dyDescent="0.35">
      <c r="C57" s="1"/>
    </row>
    <row r="58" spans="3:3" x14ac:dyDescent="0.35">
      <c r="C58" s="1"/>
    </row>
    <row r="59" spans="3:3" x14ac:dyDescent="0.35">
      <c r="C59" s="1"/>
    </row>
    <row r="60" spans="3:3" x14ac:dyDescent="0.35">
      <c r="C60" s="1"/>
    </row>
    <row r="61" spans="3:3" x14ac:dyDescent="0.35">
      <c r="C61" s="1"/>
    </row>
    <row r="62" spans="3:3" x14ac:dyDescent="0.35">
      <c r="C62" s="1"/>
    </row>
    <row r="63" spans="3:3" x14ac:dyDescent="0.35">
      <c r="C63" s="1"/>
    </row>
    <row r="64" spans="3:3" ht="30" customHeight="1" x14ac:dyDescent="0.35">
      <c r="C64" s="1"/>
    </row>
    <row r="65" spans="3:3" x14ac:dyDescent="0.35">
      <c r="C65" s="1"/>
    </row>
    <row r="66" spans="3:3" x14ac:dyDescent="0.35">
      <c r="C66" s="1"/>
    </row>
    <row r="67" spans="3:3" ht="45" customHeight="1" x14ac:dyDescent="0.35"/>
    <row r="68" spans="3:3" x14ac:dyDescent="0.35">
      <c r="C68" s="1"/>
    </row>
    <row r="69" spans="3:3" x14ac:dyDescent="0.35">
      <c r="C69" s="1"/>
    </row>
    <row r="70" spans="3:3" x14ac:dyDescent="0.35">
      <c r="C70" s="1"/>
    </row>
    <row r="71" spans="3:3" x14ac:dyDescent="0.35">
      <c r="C71" s="1"/>
    </row>
    <row r="72" spans="3:3" x14ac:dyDescent="0.35">
      <c r="C72" s="1"/>
    </row>
    <row r="73" spans="3:3" x14ac:dyDescent="0.35">
      <c r="C73" s="1"/>
    </row>
    <row r="74" spans="3:3" ht="30" customHeight="1" x14ac:dyDescent="0.35">
      <c r="C74" s="1"/>
    </row>
    <row r="75" spans="3:3" x14ac:dyDescent="0.35">
      <c r="C75" s="1"/>
    </row>
    <row r="76" spans="3:3" x14ac:dyDescent="0.35">
      <c r="C76" s="1"/>
    </row>
    <row r="77" spans="3:3" ht="45" customHeight="1" x14ac:dyDescent="0.35">
      <c r="C77" s="1"/>
    </row>
    <row r="78" spans="3:3" ht="35.25" customHeight="1" x14ac:dyDescent="0.35">
      <c r="C78" s="1"/>
    </row>
    <row r="79" spans="3:3" x14ac:dyDescent="0.35">
      <c r="C79" s="1"/>
    </row>
    <row r="80" spans="3:3" x14ac:dyDescent="0.35">
      <c r="C80" s="1"/>
    </row>
    <row r="81" spans="3:3" x14ac:dyDescent="0.35">
      <c r="C81" s="1"/>
    </row>
    <row r="82" spans="3:3" x14ac:dyDescent="0.35">
      <c r="C82" s="1"/>
    </row>
    <row r="83" spans="3:3" x14ac:dyDescent="0.35">
      <c r="C83" s="1"/>
    </row>
    <row r="84" spans="3:3" x14ac:dyDescent="0.35">
      <c r="C84" s="1"/>
    </row>
    <row r="85" spans="3:3" x14ac:dyDescent="0.35">
      <c r="C85" s="1"/>
    </row>
    <row r="86" spans="3:3" x14ac:dyDescent="0.35">
      <c r="C86" s="1"/>
    </row>
    <row r="87" spans="3:3" x14ac:dyDescent="0.35">
      <c r="C87" s="1"/>
    </row>
    <row r="88" spans="3:3" x14ac:dyDescent="0.35">
      <c r="C88" s="1"/>
    </row>
    <row r="89" spans="3:3" ht="30.75" customHeight="1" x14ac:dyDescent="0.35">
      <c r="C89" s="1"/>
    </row>
    <row r="90" spans="3:3" x14ac:dyDescent="0.35">
      <c r="C90" s="1"/>
    </row>
    <row r="91" spans="3:3" x14ac:dyDescent="0.35">
      <c r="C91" s="1"/>
    </row>
    <row r="92" spans="3:3" ht="45" customHeight="1" x14ac:dyDescent="0.35"/>
    <row r="99" ht="30" customHeight="1" x14ac:dyDescent="0.35"/>
    <row r="102" ht="45" customHeight="1" x14ac:dyDescent="0.35"/>
    <row r="109" ht="30" customHeight="1" x14ac:dyDescent="0.35"/>
  </sheetData>
  <sheetProtection formatCells="0" formatColumns="0" formatRows="0" insertColumns="0" insertRows="0" insertHyperlinks="0" deleteColumns="0" deleteRows="0" sort="0" autoFilter="0" pivotTables="0"/>
  <mergeCells count="8">
    <mergeCell ref="W4:W6"/>
    <mergeCell ref="AA4:AA6"/>
    <mergeCell ref="A1:C1"/>
    <mergeCell ref="E1:F1"/>
    <mergeCell ref="I4:I6"/>
    <mergeCell ref="N4:N6"/>
    <mergeCell ref="R4:R6"/>
    <mergeCell ref="U4:U6"/>
  </mergeCells>
  <pageMargins left="0.25" right="0.25" top="0.25" bottom="0.25" header="0.3" footer="0.3"/>
  <pageSetup scale="52" fitToHeight="0"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7C0D2-7605-4748-9A22-0EE9AEA2E936}">
  <sheetPr>
    <tabColor theme="3" tint="0.59999389629810485"/>
  </sheetPr>
  <dimension ref="A1:B48"/>
  <sheetViews>
    <sheetView showGridLines="0" tabSelected="1" topLeftCell="A37" zoomScaleNormal="100" zoomScaleSheetLayoutView="120" zoomScalePageLayoutView="160" workbookViewId="0">
      <selection activeCell="A46" sqref="A46:B46"/>
    </sheetView>
  </sheetViews>
  <sheetFormatPr defaultRowHeight="14.4" x14ac:dyDescent="0.3"/>
  <cols>
    <col min="1" max="1" width="96.44140625" customWidth="1"/>
    <col min="2" max="2" width="96.6640625" customWidth="1"/>
    <col min="13" max="13" width="16.5546875" customWidth="1"/>
  </cols>
  <sheetData>
    <row r="1" spans="1:2" ht="24" customHeight="1" x14ac:dyDescent="0.3">
      <c r="A1" s="160" t="s">
        <v>95</v>
      </c>
      <c r="B1" s="161"/>
    </row>
    <row r="2" spans="1:2" s="130" customFormat="1" ht="45" customHeight="1" x14ac:dyDescent="0.3">
      <c r="A2" s="128" t="str">
        <f>_xlfn.CONCAT("School: ",Cover!F27)</f>
        <v>School: Alice Vail</v>
      </c>
      <c r="B2" s="129">
        <f>Cover!F30</f>
        <v>45925</v>
      </c>
    </row>
    <row r="3" spans="1:2" s="19" customFormat="1" ht="18.600000000000001" customHeight="1" x14ac:dyDescent="0.3">
      <c r="A3" s="162"/>
      <c r="B3" s="163"/>
    </row>
    <row r="4" spans="1:2" ht="24" customHeight="1" x14ac:dyDescent="0.3">
      <c r="A4" s="164" t="s">
        <v>96</v>
      </c>
      <c r="B4" s="165"/>
    </row>
    <row r="5" spans="1:2" ht="18" x14ac:dyDescent="0.3">
      <c r="A5" s="26" t="s">
        <v>54</v>
      </c>
      <c r="B5" s="21">
        <f>IFERROR('Fall - Data'!B6,"No Data")</f>
        <v>0.9</v>
      </c>
    </row>
    <row r="6" spans="1:2" ht="18" x14ac:dyDescent="0.3">
      <c r="A6" s="27" t="s">
        <v>55</v>
      </c>
      <c r="B6" s="21">
        <f>IFERROR('Fall - Data'!C6,"No Data")</f>
        <v>0.83333333333333337</v>
      </c>
    </row>
    <row r="7" spans="1:2" ht="18" x14ac:dyDescent="0.3">
      <c r="A7" s="27" t="s">
        <v>56</v>
      </c>
      <c r="B7" s="21">
        <f>IFERROR('Fall - Data'!D6,"No Data")</f>
        <v>0.55999999999999994</v>
      </c>
    </row>
    <row r="8" spans="1:2" ht="18" x14ac:dyDescent="0.3">
      <c r="A8" s="27" t="s">
        <v>57</v>
      </c>
      <c r="B8" s="21">
        <f>IFERROR('Fall - Data'!E6,"No Data")</f>
        <v>0.71666666666666667</v>
      </c>
    </row>
    <row r="9" spans="1:2" ht="18" x14ac:dyDescent="0.3">
      <c r="A9" s="27" t="s">
        <v>58</v>
      </c>
      <c r="B9" s="21">
        <f>IFERROR('Fall - Data'!F6,"No Data")</f>
        <v>0.6</v>
      </c>
    </row>
    <row r="10" spans="1:2" ht="18" x14ac:dyDescent="0.3">
      <c r="A10" s="27" t="s">
        <v>59</v>
      </c>
      <c r="B10" s="21">
        <f>IFERROR('Fall - Data'!G6,"No Data")</f>
        <v>0.62</v>
      </c>
    </row>
    <row r="11" spans="1:2" ht="18" x14ac:dyDescent="0.3">
      <c r="A11" s="28" t="s">
        <v>60</v>
      </c>
      <c r="B11" s="21">
        <f>IFERROR('Fall - Data'!H6,"No Data")</f>
        <v>0.93333333333333324</v>
      </c>
    </row>
    <row r="12" spans="1:2" ht="18" customHeight="1" x14ac:dyDescent="0.3">
      <c r="A12" s="29" t="s">
        <v>97</v>
      </c>
      <c r="B12" s="30" t="s">
        <v>98</v>
      </c>
    </row>
    <row r="13" spans="1:2" ht="86.25" customHeight="1" x14ac:dyDescent="0.3">
      <c r="A13" s="116" t="s">
        <v>149</v>
      </c>
      <c r="B13" s="131" t="s">
        <v>152</v>
      </c>
    </row>
    <row r="14" spans="1:2" ht="86.25" customHeight="1" x14ac:dyDescent="0.3">
      <c r="A14" s="116" t="s">
        <v>150</v>
      </c>
      <c r="B14" s="131" t="s">
        <v>153</v>
      </c>
    </row>
    <row r="15" spans="1:2" ht="86.25" customHeight="1" x14ac:dyDescent="0.3">
      <c r="A15" s="116" t="s">
        <v>151</v>
      </c>
      <c r="B15" s="131" t="s">
        <v>154</v>
      </c>
    </row>
    <row r="16" spans="1:2" ht="24" customHeight="1" x14ac:dyDescent="0.3">
      <c r="A16" s="166" t="s">
        <v>99</v>
      </c>
      <c r="B16" s="167"/>
    </row>
    <row r="17" spans="1:2" s="11" customFormat="1" ht="138.6" customHeight="1" thickBot="1" x14ac:dyDescent="0.35">
      <c r="A17" s="168" t="s">
        <v>155</v>
      </c>
      <c r="B17" s="169"/>
    </row>
    <row r="18" spans="1:2" s="11" customFormat="1" ht="15" customHeight="1" x14ac:dyDescent="0.3">
      <c r="A18" s="154" t="s">
        <v>106</v>
      </c>
      <c r="B18" s="155"/>
    </row>
    <row r="19" spans="1:2" s="11" customFormat="1" ht="18" customHeight="1" x14ac:dyDescent="0.3">
      <c r="A19" s="26" t="s">
        <v>107</v>
      </c>
      <c r="B19" s="21">
        <f>'Fall - Data'!O6</f>
        <v>0.625</v>
      </c>
    </row>
    <row r="20" spans="1:2" s="11" customFormat="1" ht="23.1" customHeight="1" x14ac:dyDescent="0.3">
      <c r="A20" s="26" t="s">
        <v>75</v>
      </c>
      <c r="B20" s="21">
        <f>'Fall - Data'!P6</f>
        <v>0.5</v>
      </c>
    </row>
    <row r="21" spans="1:2" s="11" customFormat="1" ht="18" customHeight="1" x14ac:dyDescent="0.3">
      <c r="A21" s="26" t="s">
        <v>108</v>
      </c>
      <c r="B21" s="21">
        <f>'Fall - Data'!Q6</f>
        <v>0.5</v>
      </c>
    </row>
    <row r="22" spans="1:2" s="11" customFormat="1" ht="17.399999999999999" customHeight="1" x14ac:dyDescent="0.3">
      <c r="A22" s="29" t="s">
        <v>97</v>
      </c>
      <c r="B22" s="30" t="s">
        <v>98</v>
      </c>
    </row>
    <row r="23" spans="1:2" s="11" customFormat="1" ht="116.25" customHeight="1" x14ac:dyDescent="0.3">
      <c r="A23" s="31" t="s">
        <v>156</v>
      </c>
      <c r="B23" s="32" t="s">
        <v>157</v>
      </c>
    </row>
    <row r="24" spans="1:2" s="11" customFormat="1" ht="24" customHeight="1" x14ac:dyDescent="0.3">
      <c r="A24" s="158" t="s">
        <v>104</v>
      </c>
      <c r="B24" s="159"/>
    </row>
    <row r="25" spans="1:2" s="11" customFormat="1" ht="174" customHeight="1" thickBot="1" x14ac:dyDescent="0.35">
      <c r="A25" s="156" t="s">
        <v>158</v>
      </c>
      <c r="B25" s="157"/>
    </row>
    <row r="26" spans="1:2" s="11" customFormat="1" ht="19.5" customHeight="1" x14ac:dyDescent="0.3">
      <c r="A26" s="154" t="s">
        <v>113</v>
      </c>
      <c r="B26" s="155"/>
    </row>
    <row r="27" spans="1:2" s="11" customFormat="1" ht="18" customHeight="1" x14ac:dyDescent="0.3">
      <c r="A27" s="33" t="s">
        <v>80</v>
      </c>
      <c r="B27" s="21">
        <f>'Fall - Data'!V6</f>
        <v>0.75</v>
      </c>
    </row>
    <row r="28" spans="1:2" s="11" customFormat="1" ht="23.4" customHeight="1" x14ac:dyDescent="0.3">
      <c r="A28" s="29" t="s">
        <v>97</v>
      </c>
      <c r="B28" s="30" t="s">
        <v>98</v>
      </c>
    </row>
    <row r="29" spans="1:2" s="11" customFormat="1" ht="138" customHeight="1" x14ac:dyDescent="0.3">
      <c r="A29" s="31" t="s">
        <v>159</v>
      </c>
      <c r="B29" s="32" t="s">
        <v>160</v>
      </c>
    </row>
    <row r="30" spans="1:2" s="11" customFormat="1" ht="24.75" customHeight="1" x14ac:dyDescent="0.3">
      <c r="A30" s="158" t="s">
        <v>104</v>
      </c>
      <c r="B30" s="159"/>
    </row>
    <row r="31" spans="1:2" s="11" customFormat="1" ht="110.4" customHeight="1" thickBot="1" x14ac:dyDescent="0.35">
      <c r="A31" s="156" t="s">
        <v>161</v>
      </c>
      <c r="B31" s="157"/>
    </row>
    <row r="32" spans="1:2" s="15" customFormat="1" ht="26.4" customHeight="1" thickBot="1" x14ac:dyDescent="0.35">
      <c r="A32" s="172" t="s">
        <v>118</v>
      </c>
      <c r="B32" s="173"/>
    </row>
    <row r="33" spans="1:2" s="15" customFormat="1" ht="41.4" customHeight="1" x14ac:dyDescent="0.3">
      <c r="A33" s="174" t="s">
        <v>162</v>
      </c>
      <c r="B33" s="175"/>
    </row>
    <row r="34" spans="1:2" s="15" customFormat="1" ht="269.10000000000002" customHeight="1" thickBot="1" x14ac:dyDescent="0.35">
      <c r="A34" s="34" t="s">
        <v>163</v>
      </c>
      <c r="B34" s="35" t="s">
        <v>164</v>
      </c>
    </row>
    <row r="35" spans="1:2" s="15" customFormat="1" ht="54.9" customHeight="1" x14ac:dyDescent="0.3">
      <c r="A35" s="176" t="s">
        <v>165</v>
      </c>
      <c r="B35" s="177"/>
    </row>
    <row r="36" spans="1:2" s="15" customFormat="1" ht="315.60000000000002" customHeight="1" thickBot="1" x14ac:dyDescent="0.35">
      <c r="A36" s="34" t="s">
        <v>166</v>
      </c>
      <c r="B36" s="35" t="s">
        <v>167</v>
      </c>
    </row>
    <row r="37" spans="1:2" s="15" customFormat="1" ht="41.4" customHeight="1" x14ac:dyDescent="0.3">
      <c r="A37" s="178" t="s">
        <v>168</v>
      </c>
      <c r="B37" s="179"/>
    </row>
    <row r="38" spans="1:2" s="15" customFormat="1" ht="168.9" customHeight="1" thickBot="1" x14ac:dyDescent="0.35">
      <c r="A38" s="36" t="s">
        <v>169</v>
      </c>
      <c r="B38" s="37" t="s">
        <v>170</v>
      </c>
    </row>
    <row r="39" spans="1:2" s="15" customFormat="1" ht="24.9" customHeight="1" thickBot="1" x14ac:dyDescent="0.35">
      <c r="A39" s="25"/>
      <c r="B39" s="25"/>
    </row>
    <row r="40" spans="1:2" s="15" customFormat="1" ht="24" customHeight="1" thickBot="1" x14ac:dyDescent="0.35">
      <c r="A40" s="180" t="s">
        <v>127</v>
      </c>
      <c r="B40" s="181"/>
    </row>
    <row r="41" spans="1:2" s="15" customFormat="1" ht="23.4" customHeight="1" x14ac:dyDescent="0.3">
      <c r="A41" s="170" t="s">
        <v>128</v>
      </c>
      <c r="B41" s="171"/>
    </row>
    <row r="42" spans="1:2" s="15" customFormat="1" ht="273" customHeight="1" thickBot="1" x14ac:dyDescent="0.35">
      <c r="A42" s="184" t="s">
        <v>171</v>
      </c>
      <c r="B42" s="185"/>
    </row>
    <row r="43" spans="1:2" s="15" customFormat="1" ht="20.399999999999999" customHeight="1" x14ac:dyDescent="0.3">
      <c r="A43" s="170" t="s">
        <v>130</v>
      </c>
      <c r="B43" s="171"/>
    </row>
    <row r="44" spans="1:2" s="24" customFormat="1" ht="266.25" customHeight="1" thickBot="1" x14ac:dyDescent="0.35">
      <c r="A44" s="186" t="s">
        <v>173</v>
      </c>
      <c r="B44" s="157"/>
    </row>
    <row r="45" spans="1:2" ht="23.4" customHeight="1" x14ac:dyDescent="0.3">
      <c r="A45" s="170" t="s">
        <v>132</v>
      </c>
      <c r="B45" s="171"/>
    </row>
    <row r="46" spans="1:2" ht="209.25" customHeight="1" thickBot="1" x14ac:dyDescent="0.35">
      <c r="A46" s="187" t="s">
        <v>172</v>
      </c>
      <c r="B46" s="157"/>
    </row>
    <row r="47" spans="1:2" ht="28.5" customHeight="1" x14ac:dyDescent="0.3">
      <c r="A47" s="188" t="s">
        <v>134</v>
      </c>
      <c r="B47" s="189"/>
    </row>
    <row r="48" spans="1:2" ht="336" customHeight="1" thickBot="1" x14ac:dyDescent="0.35">
      <c r="A48" s="182" t="s">
        <v>135</v>
      </c>
      <c r="B48" s="183"/>
    </row>
  </sheetData>
  <mergeCells count="24">
    <mergeCell ref="A48:B48"/>
    <mergeCell ref="A42:B42"/>
    <mergeCell ref="A43:B43"/>
    <mergeCell ref="A44:B44"/>
    <mergeCell ref="A45:B45"/>
    <mergeCell ref="A46:B46"/>
    <mergeCell ref="A47:B47"/>
    <mergeCell ref="A26:B26"/>
    <mergeCell ref="A30:B30"/>
    <mergeCell ref="A31:B31"/>
    <mergeCell ref="A41:B41"/>
    <mergeCell ref="A32:B32"/>
    <mergeCell ref="A33:B33"/>
    <mergeCell ref="A35:B35"/>
    <mergeCell ref="A37:B37"/>
    <mergeCell ref="A40:B40"/>
    <mergeCell ref="A18:B18"/>
    <mergeCell ref="A25:B25"/>
    <mergeCell ref="A24:B24"/>
    <mergeCell ref="A1:B1"/>
    <mergeCell ref="A3:B3"/>
    <mergeCell ref="A4:B4"/>
    <mergeCell ref="A16:B16"/>
    <mergeCell ref="A17:B17"/>
  </mergeCells>
  <pageMargins left="0.5" right="0.5" top="0.5" bottom="0.5" header="0.3" footer="0.3"/>
  <pageSetup scale="69" orientation="portrait" r:id="rId1"/>
  <rowBreaks count="1" manualBreakCount="1">
    <brk id="36"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A0797-39DE-4032-8162-80BE66411195}">
  <sheetPr>
    <tabColor theme="3" tint="0.59999389629810485"/>
    <pageSetUpPr fitToPage="1"/>
  </sheetPr>
  <dimension ref="A1:AC110"/>
  <sheetViews>
    <sheetView showGridLines="0" topLeftCell="E4" zoomScaleNormal="100" workbookViewId="0">
      <selection activeCell="G15" sqref="G15"/>
    </sheetView>
  </sheetViews>
  <sheetFormatPr defaultColWidth="8.88671875" defaultRowHeight="18" x14ac:dyDescent="0.35"/>
  <cols>
    <col min="1" max="1" width="24.6640625" style="1" customWidth="1"/>
    <col min="2" max="2" width="24.5546875" style="1" customWidth="1"/>
    <col min="3" max="3" width="24.5546875" style="3" customWidth="1"/>
    <col min="4" max="7" width="24.5546875" style="1" customWidth="1"/>
    <col min="8" max="8" width="23.6640625" style="1" customWidth="1"/>
    <col min="9" max="9" width="16.109375" style="3" customWidth="1"/>
    <col min="10" max="10" width="25.109375" style="1" bestFit="1" customWidth="1"/>
    <col min="11" max="13" width="25.5546875" style="1" bestFit="1" customWidth="1"/>
    <col min="14" max="14" width="16.109375" style="3" customWidth="1"/>
    <col min="15" max="15" width="24.5546875" style="1" bestFit="1" customWidth="1"/>
    <col min="16" max="17" width="25.5546875" style="1" bestFit="1" customWidth="1"/>
    <col min="18" max="18" width="16.109375" style="3" customWidth="1"/>
    <col min="19" max="19" width="25.109375" style="1" bestFit="1" customWidth="1"/>
    <col min="20" max="20" width="22.6640625" style="1" bestFit="1" customWidth="1"/>
    <col min="21" max="21" width="16.109375" style="3" customWidth="1"/>
    <col min="22" max="22" width="25.109375" style="1" bestFit="1" customWidth="1"/>
    <col min="23" max="23" width="16.109375" style="3" customWidth="1"/>
    <col min="24" max="24" width="23.5546875" style="1" bestFit="1" customWidth="1"/>
    <col min="25" max="25" width="22.33203125" style="1" bestFit="1" customWidth="1"/>
    <col min="26" max="26" width="25.5546875" style="1" bestFit="1" customWidth="1"/>
    <col min="27" max="27" width="16.109375" style="3" customWidth="1"/>
    <col min="28" max="28" width="28.109375" style="1" bestFit="1" customWidth="1"/>
    <col min="29" max="29" width="28" style="1" bestFit="1" customWidth="1"/>
    <col min="30" max="16384" width="8.88671875" style="1"/>
  </cols>
  <sheetData>
    <row r="1" spans="1:29" s="6" customFormat="1" ht="45.75" customHeight="1" x14ac:dyDescent="0.3">
      <c r="A1" s="150" t="s">
        <v>139</v>
      </c>
      <c r="B1" s="151"/>
      <c r="C1" s="152"/>
      <c r="D1" s="108" t="s">
        <v>138</v>
      </c>
      <c r="E1" s="153" t="str">
        <f>Cover!F27</f>
        <v>Alice Vail</v>
      </c>
      <c r="F1" s="153"/>
      <c r="G1" s="110" t="s">
        <v>140</v>
      </c>
      <c r="H1" s="109">
        <f>Cover!F33</f>
        <v>0</v>
      </c>
      <c r="I1" s="89"/>
      <c r="N1" s="89"/>
      <c r="R1" s="89"/>
      <c r="U1" s="89"/>
      <c r="W1" s="89"/>
      <c r="AA1" s="89"/>
    </row>
    <row r="2" spans="1:29" s="6" customFormat="1" ht="45.75" customHeight="1" x14ac:dyDescent="0.3">
      <c r="I2" s="89"/>
      <c r="N2" s="89"/>
      <c r="R2" s="89"/>
      <c r="U2" s="89"/>
      <c r="W2" s="89"/>
      <c r="AA2" s="89"/>
    </row>
    <row r="3" spans="1:29" s="6" customFormat="1" ht="45.75" customHeight="1" x14ac:dyDescent="0.3">
      <c r="I3" s="89"/>
      <c r="N3" s="89"/>
      <c r="R3" s="89"/>
      <c r="U3" s="89"/>
      <c r="W3" s="89"/>
      <c r="AA3" s="89"/>
    </row>
    <row r="4" spans="1:29" s="85" customFormat="1" ht="45.75" customHeight="1" x14ac:dyDescent="0.3">
      <c r="A4" s="107" t="s">
        <v>13</v>
      </c>
      <c r="B4" s="74" t="s">
        <v>54</v>
      </c>
      <c r="C4" s="75" t="s">
        <v>55</v>
      </c>
      <c r="D4" s="76" t="s">
        <v>56</v>
      </c>
      <c r="E4" s="77" t="s">
        <v>57</v>
      </c>
      <c r="F4" s="78" t="s">
        <v>58</v>
      </c>
      <c r="G4" s="79" t="s">
        <v>59</v>
      </c>
      <c r="H4" s="86" t="s">
        <v>60</v>
      </c>
      <c r="I4" s="147" t="s">
        <v>63</v>
      </c>
      <c r="J4" s="87" t="s">
        <v>101</v>
      </c>
      <c r="K4" s="63" t="s">
        <v>136</v>
      </c>
      <c r="L4" s="64" t="s">
        <v>68</v>
      </c>
      <c r="M4" s="70" t="s">
        <v>69</v>
      </c>
      <c r="N4" s="147" t="s">
        <v>70</v>
      </c>
      <c r="O4" s="80" t="s">
        <v>74</v>
      </c>
      <c r="P4" s="65" t="s">
        <v>75</v>
      </c>
      <c r="Q4" s="71" t="s">
        <v>76</v>
      </c>
      <c r="R4" s="147" t="s">
        <v>77</v>
      </c>
      <c r="S4" s="81" t="s">
        <v>80</v>
      </c>
      <c r="T4" s="72" t="s">
        <v>81</v>
      </c>
      <c r="U4" s="147" t="s">
        <v>82</v>
      </c>
      <c r="V4" s="82" t="s">
        <v>80</v>
      </c>
      <c r="W4" s="147" t="s">
        <v>84</v>
      </c>
      <c r="X4" s="83" t="s">
        <v>88</v>
      </c>
      <c r="Y4" s="66" t="s">
        <v>137</v>
      </c>
      <c r="Z4" s="73" t="s">
        <v>89</v>
      </c>
      <c r="AA4" s="147" t="s">
        <v>90</v>
      </c>
      <c r="AB4" s="84" t="s">
        <v>93</v>
      </c>
      <c r="AC4" s="88" t="s">
        <v>94</v>
      </c>
    </row>
    <row r="5" spans="1:29" s="99" customFormat="1" ht="33" customHeight="1" x14ac:dyDescent="0.3">
      <c r="A5" s="95" t="s">
        <v>61</v>
      </c>
      <c r="B5" s="96" t="str">
        <f>IFERROR(TEXT(AVERAGE(B9:B42),"##.00")&amp;" out of 4","No Data")</f>
        <v>7.80 out of 4</v>
      </c>
      <c r="C5" s="97" t="str">
        <f>IFERROR(TEXT(AVERAGE(C9:C42),"##.00")&amp;" out of 6","No Data")</f>
        <v>3.30 out of 6</v>
      </c>
      <c r="D5" s="97" t="str">
        <f>IFERROR(TEXT(AVERAGE(D9:D42),"##.00")&amp;" out of 5","No Data")</f>
        <v>2.60 out of 5</v>
      </c>
      <c r="E5" s="97" t="str">
        <f>IFERROR(TEXT(AVERAGE(E9:E42),"##.00")&amp;" out of 6","No Data")</f>
        <v>3.60 out of 6</v>
      </c>
      <c r="F5" s="97" t="str">
        <f>IFERROR(TEXT(AVERAGE(F9:F42),"##.00")&amp;" out of 4","No Data")</f>
        <v>2.10 out of 4</v>
      </c>
      <c r="G5" s="97" t="str">
        <f>IFERROR(TEXT(AVERAGE(G9:G42),"##.00")&amp;" out of 5","No Data")</f>
        <v>3.20 out of 5</v>
      </c>
      <c r="H5" s="98" t="str">
        <f>IFERROR(TEXT(AVERAGE(H9:H42),"##.00")&amp;" out of 3","No Data")</f>
        <v>1.70 out of 3</v>
      </c>
      <c r="I5" s="148"/>
      <c r="J5" s="97" t="str">
        <f>IFERROR(TEXT(AVERAGE(J9:J42),"##.00")&amp;" out of 5","No Data")</f>
        <v>No Data</v>
      </c>
      <c r="K5" s="97" t="str">
        <f>IFERROR(TEXT(AVERAGE(K9:K42),"##.00")&amp;" out of 4","No Data")</f>
        <v>No Data</v>
      </c>
      <c r="L5" s="97" t="str">
        <f>IFERROR(TEXT(AVERAGE(L9:L42),"##.00")&amp;" out of 2","No Data")</f>
        <v>No Data</v>
      </c>
      <c r="M5" s="98" t="str">
        <f>IFERROR(TEXT(AVERAGE(M9:M42),"##.00")&amp;" out of 2","No Data")</f>
        <v>No Data</v>
      </c>
      <c r="N5" s="148"/>
      <c r="O5" s="97" t="str">
        <f t="shared" ref="O5:AC5" si="0">IFERROR(TEXT(AVERAGE(O9:O42),"##.00")&amp;" out of 4","No Data")</f>
        <v>No Data</v>
      </c>
      <c r="P5" s="97" t="str">
        <f>IFERROR(TEXT(AVERAGE(P9:P42),"##.00")&amp;" out of 2","No Data")</f>
        <v>No Data</v>
      </c>
      <c r="Q5" s="98" t="str">
        <f>IFERROR(TEXT(AVERAGE(Q9:Q42),"##.00")&amp;" out of 2","No Data")</f>
        <v>No Data</v>
      </c>
      <c r="R5" s="148"/>
      <c r="S5" s="97" t="str">
        <f>IFERROR(TEXT(AVERAGE(S9:S42),"##.00")&amp;" out of 3","No Data")</f>
        <v>No Data</v>
      </c>
      <c r="T5" s="98" t="str">
        <f>IFERROR(TEXT(AVERAGE(T9:T42),"##.00")&amp;" out of 3","No Data")</f>
        <v>No Data</v>
      </c>
      <c r="U5" s="148"/>
      <c r="V5" s="98" t="str">
        <f>IFERROR(TEXT(AVERAGE(V9:V42),"##.00")&amp;" out of 2","No Data")</f>
        <v>No Data</v>
      </c>
      <c r="W5" s="148"/>
      <c r="X5" s="97" t="str">
        <f>IFERROR(TEXT(AVERAGE(X9:X42),"##.00")&amp;" out of 5","No Data")</f>
        <v>No Data</v>
      </c>
      <c r="Y5" s="97" t="str">
        <f>IFERROR(TEXT(AVERAGE(Y9:Y42),"##.00")&amp;" out of 3","No Data")</f>
        <v>No Data</v>
      </c>
      <c r="Z5" s="98" t="str">
        <f>IFERROR(TEXT(AVERAGE(Z9:Z42),"##.00")&amp;" out of 2","No Data")</f>
        <v>No Data</v>
      </c>
      <c r="AA5" s="148"/>
      <c r="AB5" s="97" t="str">
        <f>IFERROR(TEXT(AVERAGE(AB9:AB42),"##.00")&amp;" out of 5","No Data")</f>
        <v>No Data</v>
      </c>
      <c r="AC5" s="97" t="str">
        <f t="shared" si="0"/>
        <v>No Data</v>
      </c>
    </row>
    <row r="6" spans="1:29" s="99" customFormat="1" ht="33" customHeight="1" x14ac:dyDescent="0.3">
      <c r="A6" s="100" t="s">
        <v>62</v>
      </c>
      <c r="B6" s="101">
        <f>IFERROR(AVERAGE(B9:B42)/4,"No Data")</f>
        <v>1.95</v>
      </c>
      <c r="C6" s="102">
        <f>IFERROR(AVERAGE(C9:C42)/6,"No Data")</f>
        <v>0.54999999999999993</v>
      </c>
      <c r="D6" s="101">
        <f>IFERROR(AVERAGE(D9:D42)/5,"No Data")</f>
        <v>0.52</v>
      </c>
      <c r="E6" s="101">
        <f>IFERROR(AVERAGE(E9:E42)/7,"No Data")</f>
        <v>0.51428571428571435</v>
      </c>
      <c r="F6" s="101">
        <f>IFERROR(AVERAGE(F9:F42)/4,"No Data")</f>
        <v>0.52500000000000002</v>
      </c>
      <c r="G6" s="101">
        <f>IFERROR(AVERAGE(G9:G42)/5,"No Data")</f>
        <v>0.64</v>
      </c>
      <c r="H6" s="103">
        <f>IFERROR(AVERAGE(H9:H42)/3,"No Data")</f>
        <v>0.56666666666666665</v>
      </c>
      <c r="I6" s="149"/>
      <c r="J6" s="102" t="str">
        <f>IFERROR(AVERAGE(J9:J42)/5,"No Data")</f>
        <v>No Data</v>
      </c>
      <c r="K6" s="101" t="str">
        <f>IFERROR(AVERAGE(K9:K42)/4,"No Data")</f>
        <v>No Data</v>
      </c>
      <c r="L6" s="101" t="str">
        <f>IFERROR(AVERAGE(L9:L42)/2,"No Data")</f>
        <v>No Data</v>
      </c>
      <c r="M6" s="103" t="str">
        <f>IFERROR(AVERAGE(M9:M42)/2,"No Data")</f>
        <v>No Data</v>
      </c>
      <c r="N6" s="149"/>
      <c r="O6" s="102" t="str">
        <f>IFERROR(AVERAGE(O9:O42)/4,"No Data")</f>
        <v>No Data</v>
      </c>
      <c r="P6" s="102" t="str">
        <f>IFERROR(AVERAGE(P9:P42)/2,"No Data")</f>
        <v>No Data</v>
      </c>
      <c r="Q6" s="104" t="str">
        <f>IFERROR(AVERAGE(Q9:Q42)/2,"No Data")</f>
        <v>No Data</v>
      </c>
      <c r="R6" s="149"/>
      <c r="S6" s="102" t="str">
        <f>IFERROR(AVERAGE(S9:S42)/3,"No Data")</f>
        <v>No Data</v>
      </c>
      <c r="T6" s="103" t="str">
        <f>IFERROR(AVERAGE(T9:T42)/3,"No Data")</f>
        <v>No Data</v>
      </c>
      <c r="U6" s="149"/>
      <c r="V6" s="104" t="str">
        <f>IFERROR(AVERAGE(V9:V42)/2,"No Data")</f>
        <v>No Data</v>
      </c>
      <c r="W6" s="149"/>
      <c r="X6" s="102" t="str">
        <f>IFERROR(AVERAGE(X9:X42)/5,"No Data")</f>
        <v>No Data</v>
      </c>
      <c r="Y6" s="101" t="str">
        <f>IFERROR(AVERAGE(Y9:Y42)/3,"No Data")</f>
        <v>No Data</v>
      </c>
      <c r="Z6" s="103" t="str">
        <f>IFERROR(AVERAGE(Z9:Z42)/2,"No Data")</f>
        <v>No Data</v>
      </c>
      <c r="AA6" s="149"/>
      <c r="AB6" s="102" t="str">
        <f>IFERROR(AVERAGE(AB9:AB42)/5,"No Data")</f>
        <v>No Data</v>
      </c>
      <c r="AC6" s="101" t="str">
        <f>IFERROR(AVERAGE(AC9:AC42)/4,"No Data")</f>
        <v>No Data</v>
      </c>
    </row>
    <row r="7" spans="1:29" s="6" customFormat="1" ht="45.75" customHeight="1" x14ac:dyDescent="0.3">
      <c r="I7" s="89"/>
      <c r="N7" s="89"/>
      <c r="R7" s="89"/>
      <c r="U7" s="89"/>
      <c r="W7" s="89"/>
      <c r="AA7" s="89"/>
    </row>
    <row r="8" spans="1:29" ht="59.25" customHeight="1" x14ac:dyDescent="0.3">
      <c r="A8" s="93" t="s">
        <v>13</v>
      </c>
      <c r="B8" s="47" t="s">
        <v>14</v>
      </c>
      <c r="C8" s="17" t="s">
        <v>15</v>
      </c>
      <c r="D8" s="7" t="s">
        <v>16</v>
      </c>
      <c r="E8" s="8" t="s">
        <v>145</v>
      </c>
      <c r="F8" s="18" t="s">
        <v>17</v>
      </c>
      <c r="G8" s="48" t="s">
        <v>18</v>
      </c>
      <c r="H8" s="49" t="s">
        <v>19</v>
      </c>
      <c r="I8" s="94" t="s">
        <v>63</v>
      </c>
      <c r="J8" s="51" t="s">
        <v>64</v>
      </c>
      <c r="K8" s="52" t="s">
        <v>65</v>
      </c>
      <c r="L8" s="53" t="s">
        <v>66</v>
      </c>
      <c r="M8" s="53" t="s">
        <v>67</v>
      </c>
      <c r="N8" s="91" t="s">
        <v>70</v>
      </c>
      <c r="O8" s="54" t="s">
        <v>71</v>
      </c>
      <c r="P8" s="55" t="s">
        <v>72</v>
      </c>
      <c r="Q8" s="56" t="s">
        <v>73</v>
      </c>
      <c r="R8" s="91" t="s">
        <v>77</v>
      </c>
      <c r="S8" s="57" t="s">
        <v>78</v>
      </c>
      <c r="T8" s="58" t="s">
        <v>79</v>
      </c>
      <c r="U8" s="91" t="s">
        <v>82</v>
      </c>
      <c r="V8" s="59" t="s">
        <v>83</v>
      </c>
      <c r="W8" s="92" t="s">
        <v>84</v>
      </c>
      <c r="X8" s="67" t="s">
        <v>85</v>
      </c>
      <c r="Y8" s="60" t="s">
        <v>86</v>
      </c>
      <c r="Z8" s="61" t="s">
        <v>87</v>
      </c>
      <c r="AA8" s="91" t="s">
        <v>90</v>
      </c>
      <c r="AB8" s="68" t="s">
        <v>91</v>
      </c>
      <c r="AC8" s="62" t="s">
        <v>92</v>
      </c>
    </row>
    <row r="9" spans="1:29" s="2" customFormat="1" ht="20.25" customHeight="1" x14ac:dyDescent="0.3">
      <c r="A9" s="69" t="s">
        <v>20</v>
      </c>
      <c r="B9" s="69">
        <v>2</v>
      </c>
      <c r="C9" s="69">
        <v>2</v>
      </c>
      <c r="D9" s="69">
        <v>2</v>
      </c>
      <c r="E9" s="69">
        <v>2</v>
      </c>
      <c r="F9" s="69">
        <v>1</v>
      </c>
      <c r="G9" s="69">
        <v>2</v>
      </c>
      <c r="H9" s="69">
        <v>0</v>
      </c>
      <c r="I9" s="105"/>
      <c r="J9" s="69"/>
      <c r="K9" s="69"/>
      <c r="L9" s="69"/>
      <c r="M9" s="69"/>
      <c r="N9" s="105"/>
      <c r="O9" s="69"/>
      <c r="P9" s="69"/>
      <c r="Q9" s="69"/>
      <c r="R9" s="105"/>
      <c r="S9" s="69"/>
      <c r="T9" s="69"/>
      <c r="U9" s="105"/>
      <c r="V9" s="69"/>
      <c r="W9" s="105"/>
      <c r="X9" s="69"/>
      <c r="Y9" s="69"/>
      <c r="Z9" s="69"/>
      <c r="AA9" s="105"/>
      <c r="AB9" s="69"/>
      <c r="AC9" s="69"/>
    </row>
    <row r="10" spans="1:29" s="2" customFormat="1" ht="20.25" customHeight="1" x14ac:dyDescent="0.3">
      <c r="A10" s="69" t="s">
        <v>21</v>
      </c>
      <c r="B10" s="69">
        <v>4</v>
      </c>
      <c r="C10" s="69">
        <v>0</v>
      </c>
      <c r="D10" s="69">
        <v>3</v>
      </c>
      <c r="E10" s="69">
        <v>3</v>
      </c>
      <c r="F10" s="69">
        <v>2</v>
      </c>
      <c r="G10" s="69">
        <v>4</v>
      </c>
      <c r="H10" s="69">
        <v>1</v>
      </c>
      <c r="I10" s="105"/>
      <c r="J10" s="69"/>
      <c r="K10" s="69"/>
      <c r="L10" s="69"/>
      <c r="M10" s="69"/>
      <c r="N10" s="105"/>
      <c r="O10" s="69"/>
      <c r="P10" s="69"/>
      <c r="Q10" s="69"/>
      <c r="R10" s="105"/>
      <c r="S10" s="69"/>
      <c r="T10" s="69"/>
      <c r="U10" s="105"/>
      <c r="V10" s="69"/>
      <c r="W10" s="105"/>
      <c r="X10" s="69"/>
      <c r="Y10" s="69"/>
      <c r="Z10" s="69"/>
      <c r="AA10" s="105"/>
      <c r="AB10" s="69"/>
      <c r="AC10" s="69"/>
    </row>
    <row r="11" spans="1:29" s="2" customFormat="1" ht="20.25" customHeight="1" x14ac:dyDescent="0.3">
      <c r="A11" s="69" t="s">
        <v>22</v>
      </c>
      <c r="B11" s="69">
        <v>3</v>
      </c>
      <c r="C11" s="69">
        <v>0</v>
      </c>
      <c r="D11" s="69">
        <v>2</v>
      </c>
      <c r="E11" s="69">
        <v>3</v>
      </c>
      <c r="F11" s="69">
        <v>1</v>
      </c>
      <c r="G11" s="69">
        <v>5</v>
      </c>
      <c r="H11" s="69">
        <v>2</v>
      </c>
      <c r="I11" s="105"/>
      <c r="J11" s="69"/>
      <c r="K11" s="69"/>
      <c r="L11" s="69"/>
      <c r="M11" s="69"/>
      <c r="N11" s="105"/>
      <c r="O11" s="69"/>
      <c r="P11" s="69"/>
      <c r="Q11" s="69"/>
      <c r="R11" s="105"/>
      <c r="S11" s="69"/>
      <c r="T11" s="69"/>
      <c r="U11" s="105"/>
      <c r="V11" s="69"/>
      <c r="W11" s="105"/>
      <c r="X11" s="69"/>
      <c r="Y11" s="69"/>
      <c r="Z11" s="69"/>
      <c r="AA11" s="105"/>
      <c r="AB11" s="69"/>
      <c r="AC11" s="69"/>
    </row>
    <row r="12" spans="1:29" s="2" customFormat="1" ht="20.25" customHeight="1" x14ac:dyDescent="0.3">
      <c r="A12" s="69" t="s">
        <v>23</v>
      </c>
      <c r="B12" s="69">
        <v>2</v>
      </c>
      <c r="C12" s="69">
        <v>1</v>
      </c>
      <c r="D12" s="69">
        <v>2</v>
      </c>
      <c r="E12" s="69">
        <v>2</v>
      </c>
      <c r="F12" s="69">
        <v>1</v>
      </c>
      <c r="G12" s="69">
        <v>2</v>
      </c>
      <c r="H12" s="69">
        <v>3</v>
      </c>
      <c r="I12" s="105"/>
      <c r="J12" s="69"/>
      <c r="K12" s="69"/>
      <c r="L12" s="69"/>
      <c r="M12" s="69"/>
      <c r="N12" s="105"/>
      <c r="O12" s="69"/>
      <c r="P12" s="69"/>
      <c r="Q12" s="69"/>
      <c r="R12" s="105"/>
      <c r="S12" s="69"/>
      <c r="T12" s="69"/>
      <c r="U12" s="105"/>
      <c r="V12" s="69"/>
      <c r="W12" s="105"/>
      <c r="X12" s="69"/>
      <c r="Y12" s="69"/>
      <c r="Z12" s="69"/>
      <c r="AA12" s="105"/>
      <c r="AB12" s="69"/>
      <c r="AC12" s="69"/>
    </row>
    <row r="13" spans="1:29" s="2" customFormat="1" ht="20.25" customHeight="1" x14ac:dyDescent="0.3">
      <c r="A13" s="69" t="s">
        <v>24</v>
      </c>
      <c r="B13" s="69">
        <v>4</v>
      </c>
      <c r="C13" s="69">
        <v>6</v>
      </c>
      <c r="D13" s="69">
        <v>4</v>
      </c>
      <c r="E13" s="69">
        <v>6</v>
      </c>
      <c r="F13" s="69">
        <v>4</v>
      </c>
      <c r="G13" s="69">
        <v>5</v>
      </c>
      <c r="H13" s="69">
        <v>3</v>
      </c>
      <c r="I13" s="105"/>
      <c r="J13" s="69"/>
      <c r="K13" s="69"/>
      <c r="L13" s="69"/>
      <c r="M13" s="69"/>
      <c r="N13" s="105"/>
      <c r="O13" s="69"/>
      <c r="P13" s="69"/>
      <c r="Q13" s="69"/>
      <c r="R13" s="105"/>
      <c r="S13" s="69"/>
      <c r="T13" s="69"/>
      <c r="U13" s="105"/>
      <c r="V13" s="69"/>
      <c r="W13" s="105"/>
      <c r="X13" s="69"/>
      <c r="Y13" s="69"/>
      <c r="Z13" s="69"/>
      <c r="AA13" s="105"/>
      <c r="AB13" s="69"/>
      <c r="AC13" s="69"/>
    </row>
    <row r="14" spans="1:29" s="2" customFormat="1" ht="20.25" customHeight="1" x14ac:dyDescent="0.3">
      <c r="A14" s="69" t="s">
        <v>25</v>
      </c>
      <c r="B14" s="69">
        <v>3</v>
      </c>
      <c r="C14" s="69">
        <v>4</v>
      </c>
      <c r="D14" s="69">
        <v>0</v>
      </c>
      <c r="E14" s="69">
        <v>1</v>
      </c>
      <c r="F14" s="69">
        <v>1</v>
      </c>
      <c r="G14" s="69">
        <v>1</v>
      </c>
      <c r="H14" s="69">
        <v>0</v>
      </c>
      <c r="I14" s="105"/>
      <c r="J14" s="69"/>
      <c r="K14" s="69"/>
      <c r="L14" s="106"/>
      <c r="M14" s="106"/>
      <c r="N14" s="105"/>
      <c r="O14" s="69"/>
      <c r="P14" s="106"/>
      <c r="Q14" s="106"/>
      <c r="R14" s="105"/>
      <c r="S14" s="69"/>
      <c r="T14" s="69"/>
      <c r="U14" s="105"/>
      <c r="V14" s="106"/>
      <c r="W14" s="105"/>
      <c r="X14" s="106"/>
      <c r="Y14" s="69"/>
      <c r="Z14" s="106"/>
      <c r="AA14" s="105"/>
      <c r="AB14" s="106"/>
      <c r="AC14" s="69"/>
    </row>
    <row r="15" spans="1:29" s="2" customFormat="1" ht="20.25" customHeight="1" x14ac:dyDescent="0.3">
      <c r="A15" s="69" t="s">
        <v>26</v>
      </c>
      <c r="B15" s="69">
        <v>4</v>
      </c>
      <c r="C15" s="69">
        <v>6</v>
      </c>
      <c r="D15" s="69">
        <v>4</v>
      </c>
      <c r="E15" s="69">
        <v>6</v>
      </c>
      <c r="F15" s="69">
        <v>4</v>
      </c>
      <c r="G15" s="69">
        <v>5</v>
      </c>
      <c r="H15" s="69">
        <v>3</v>
      </c>
      <c r="I15" s="105"/>
      <c r="J15" s="69"/>
      <c r="K15" s="69"/>
      <c r="L15" s="106"/>
      <c r="M15" s="106"/>
      <c r="N15" s="105"/>
      <c r="O15" s="69"/>
      <c r="P15" s="106"/>
      <c r="Q15" s="106"/>
      <c r="R15" s="105"/>
      <c r="S15" s="69"/>
      <c r="T15" s="69"/>
      <c r="U15" s="105"/>
      <c r="V15" s="106"/>
      <c r="W15" s="105"/>
      <c r="X15" s="106"/>
      <c r="Y15" s="69"/>
      <c r="Z15" s="106"/>
      <c r="AA15" s="105"/>
      <c r="AB15" s="106"/>
      <c r="AC15" s="69"/>
    </row>
    <row r="16" spans="1:29" s="2" customFormat="1" ht="20.25" customHeight="1" x14ac:dyDescent="0.3">
      <c r="A16" s="69" t="s">
        <v>27</v>
      </c>
      <c r="B16" s="69">
        <v>51</v>
      </c>
      <c r="C16" s="69">
        <v>6</v>
      </c>
      <c r="D16" s="69">
        <v>4</v>
      </c>
      <c r="E16" s="69">
        <v>5</v>
      </c>
      <c r="F16" s="69">
        <v>3</v>
      </c>
      <c r="G16" s="69">
        <v>2</v>
      </c>
      <c r="H16" s="69">
        <v>1</v>
      </c>
      <c r="I16" s="105"/>
      <c r="J16" s="69"/>
      <c r="K16" s="69"/>
      <c r="L16" s="106"/>
      <c r="M16" s="106"/>
      <c r="N16" s="105"/>
      <c r="O16" s="69"/>
      <c r="P16" s="106"/>
      <c r="Q16" s="106"/>
      <c r="R16" s="105"/>
      <c r="S16" s="69"/>
      <c r="T16" s="69"/>
      <c r="U16" s="105"/>
      <c r="V16" s="106"/>
      <c r="W16" s="105"/>
      <c r="X16" s="106"/>
      <c r="Y16" s="69"/>
      <c r="Z16" s="106"/>
      <c r="AA16" s="105"/>
      <c r="AB16" s="106"/>
      <c r="AC16" s="69"/>
    </row>
    <row r="17" spans="1:29" s="2" customFormat="1" ht="20.25" customHeight="1" x14ac:dyDescent="0.3">
      <c r="A17" s="69" t="s">
        <v>28</v>
      </c>
      <c r="B17" s="69">
        <v>3</v>
      </c>
      <c r="C17" s="69">
        <v>6</v>
      </c>
      <c r="D17" s="69">
        <v>4</v>
      </c>
      <c r="E17" s="69">
        <v>6</v>
      </c>
      <c r="F17" s="69">
        <v>4</v>
      </c>
      <c r="G17" s="69">
        <v>5</v>
      </c>
      <c r="H17" s="69">
        <v>2</v>
      </c>
      <c r="I17" s="105"/>
      <c r="J17" s="69"/>
      <c r="K17" s="69"/>
      <c r="L17" s="106"/>
      <c r="M17" s="106"/>
      <c r="N17" s="105"/>
      <c r="O17" s="69"/>
      <c r="P17" s="106"/>
      <c r="Q17" s="106"/>
      <c r="R17" s="105"/>
      <c r="S17" s="69"/>
      <c r="T17" s="69"/>
      <c r="U17" s="105"/>
      <c r="V17" s="106"/>
      <c r="W17" s="105"/>
      <c r="X17" s="106"/>
      <c r="Y17" s="69"/>
      <c r="Z17" s="106"/>
      <c r="AA17" s="105"/>
      <c r="AB17" s="106"/>
      <c r="AC17" s="69"/>
    </row>
    <row r="18" spans="1:29" s="2" customFormat="1" ht="20.25" customHeight="1" x14ac:dyDescent="0.3">
      <c r="A18" s="69" t="s">
        <v>29</v>
      </c>
      <c r="B18" s="69">
        <v>2</v>
      </c>
      <c r="C18" s="69">
        <v>2</v>
      </c>
      <c r="D18" s="69">
        <v>1</v>
      </c>
      <c r="E18" s="69">
        <v>2</v>
      </c>
      <c r="F18" s="69">
        <v>0</v>
      </c>
      <c r="G18" s="69">
        <v>1</v>
      </c>
      <c r="H18" s="69">
        <v>2</v>
      </c>
      <c r="I18" s="105"/>
      <c r="J18" s="69"/>
      <c r="K18" s="69"/>
      <c r="L18" s="106"/>
      <c r="M18" s="106"/>
      <c r="N18" s="105"/>
      <c r="O18" s="69"/>
      <c r="P18" s="106"/>
      <c r="Q18" s="106"/>
      <c r="R18" s="105"/>
      <c r="S18" s="69"/>
      <c r="T18" s="69"/>
      <c r="U18" s="105"/>
      <c r="V18" s="106"/>
      <c r="W18" s="105"/>
      <c r="X18" s="106"/>
      <c r="Y18" s="69"/>
      <c r="Z18" s="106"/>
      <c r="AA18" s="105"/>
      <c r="AB18" s="106"/>
      <c r="AC18" s="69"/>
    </row>
    <row r="19" spans="1:29" s="2" customFormat="1" ht="20.25" customHeight="1" x14ac:dyDescent="0.3">
      <c r="A19" s="69" t="s">
        <v>30</v>
      </c>
      <c r="B19" s="69"/>
      <c r="C19" s="69"/>
      <c r="D19" s="69"/>
      <c r="E19" s="69"/>
      <c r="F19" s="69"/>
      <c r="G19" s="69"/>
      <c r="H19" s="69"/>
      <c r="I19" s="105"/>
      <c r="J19" s="69"/>
      <c r="K19" s="69"/>
      <c r="L19" s="106"/>
      <c r="M19" s="106"/>
      <c r="N19" s="105"/>
      <c r="O19" s="69"/>
      <c r="P19" s="106"/>
      <c r="Q19" s="106"/>
      <c r="R19" s="105"/>
      <c r="S19" s="69"/>
      <c r="T19" s="69"/>
      <c r="U19" s="105"/>
      <c r="V19" s="106"/>
      <c r="W19" s="105"/>
      <c r="X19" s="106"/>
      <c r="Y19" s="69"/>
      <c r="Z19" s="106"/>
      <c r="AA19" s="105"/>
      <c r="AB19" s="106"/>
      <c r="AC19" s="69"/>
    </row>
    <row r="20" spans="1:29" s="2" customFormat="1" ht="20.25" customHeight="1" x14ac:dyDescent="0.3">
      <c r="A20" s="69" t="s">
        <v>31</v>
      </c>
      <c r="B20" s="69"/>
      <c r="C20" s="69"/>
      <c r="D20" s="69"/>
      <c r="E20" s="69"/>
      <c r="F20" s="69"/>
      <c r="G20" s="69"/>
      <c r="H20" s="69"/>
      <c r="I20" s="105"/>
      <c r="J20" s="69"/>
      <c r="K20" s="69"/>
      <c r="L20" s="106"/>
      <c r="M20" s="106"/>
      <c r="N20" s="105"/>
      <c r="O20" s="69"/>
      <c r="P20" s="106"/>
      <c r="Q20" s="106"/>
      <c r="R20" s="105"/>
      <c r="S20" s="69"/>
      <c r="T20" s="69"/>
      <c r="U20" s="105"/>
      <c r="V20" s="106"/>
      <c r="W20" s="105"/>
      <c r="X20" s="106"/>
      <c r="Y20" s="69"/>
      <c r="Z20" s="106"/>
      <c r="AA20" s="105"/>
      <c r="AB20" s="106"/>
      <c r="AC20" s="69"/>
    </row>
    <row r="21" spans="1:29" s="2" customFormat="1" ht="20.25" customHeight="1" x14ac:dyDescent="0.3">
      <c r="A21" s="69" t="s">
        <v>32</v>
      </c>
      <c r="B21" s="69"/>
      <c r="C21" s="69"/>
      <c r="D21" s="69"/>
      <c r="E21" s="69"/>
      <c r="F21" s="69"/>
      <c r="G21" s="69"/>
      <c r="H21" s="69"/>
      <c r="I21" s="105"/>
      <c r="J21" s="69"/>
      <c r="K21" s="69"/>
      <c r="L21" s="106"/>
      <c r="M21" s="106"/>
      <c r="N21" s="105"/>
      <c r="O21" s="69"/>
      <c r="P21" s="106"/>
      <c r="Q21" s="106"/>
      <c r="R21" s="105"/>
      <c r="S21" s="69"/>
      <c r="T21" s="69"/>
      <c r="U21" s="105"/>
      <c r="V21" s="106"/>
      <c r="W21" s="105"/>
      <c r="X21" s="106"/>
      <c r="Y21" s="69"/>
      <c r="Z21" s="106"/>
      <c r="AA21" s="105"/>
      <c r="AB21" s="106"/>
      <c r="AC21" s="69"/>
    </row>
    <row r="22" spans="1:29" s="2" customFormat="1" ht="20.25" customHeight="1" x14ac:dyDescent="0.3">
      <c r="A22" s="69" t="s">
        <v>33</v>
      </c>
      <c r="B22" s="69"/>
      <c r="C22" s="69"/>
      <c r="D22" s="69"/>
      <c r="E22" s="69"/>
      <c r="F22" s="69"/>
      <c r="G22" s="69"/>
      <c r="H22" s="69"/>
      <c r="I22" s="105"/>
      <c r="J22" s="69"/>
      <c r="K22" s="69"/>
      <c r="L22" s="106"/>
      <c r="M22" s="106"/>
      <c r="N22" s="105"/>
      <c r="O22" s="69"/>
      <c r="P22" s="106"/>
      <c r="Q22" s="106"/>
      <c r="R22" s="105"/>
      <c r="S22" s="69"/>
      <c r="T22" s="69"/>
      <c r="U22" s="105"/>
      <c r="V22" s="106"/>
      <c r="W22" s="105"/>
      <c r="X22" s="106"/>
      <c r="Y22" s="69"/>
      <c r="Z22" s="106"/>
      <c r="AA22" s="105"/>
      <c r="AB22" s="106"/>
      <c r="AC22" s="69"/>
    </row>
    <row r="23" spans="1:29" s="2" customFormat="1" ht="20.25" customHeight="1" x14ac:dyDescent="0.3">
      <c r="A23" s="69" t="s">
        <v>34</v>
      </c>
      <c r="B23" s="69"/>
      <c r="C23" s="69"/>
      <c r="D23" s="69"/>
      <c r="E23" s="69"/>
      <c r="F23" s="69"/>
      <c r="G23" s="69"/>
      <c r="H23" s="69"/>
      <c r="I23" s="105"/>
      <c r="J23" s="69"/>
      <c r="K23" s="69"/>
      <c r="L23" s="106"/>
      <c r="M23" s="106"/>
      <c r="N23" s="105"/>
      <c r="O23" s="69"/>
      <c r="P23" s="106"/>
      <c r="Q23" s="106"/>
      <c r="R23" s="105"/>
      <c r="S23" s="69"/>
      <c r="T23" s="69"/>
      <c r="U23" s="105"/>
      <c r="V23" s="106"/>
      <c r="W23" s="105"/>
      <c r="X23" s="106"/>
      <c r="Y23" s="69"/>
      <c r="Z23" s="106"/>
      <c r="AA23" s="105"/>
      <c r="AB23" s="106"/>
      <c r="AC23" s="69"/>
    </row>
    <row r="24" spans="1:29" s="2" customFormat="1" ht="20.25" customHeight="1" x14ac:dyDescent="0.3">
      <c r="A24" s="69" t="s">
        <v>35</v>
      </c>
      <c r="B24" s="69"/>
      <c r="C24" s="69"/>
      <c r="D24" s="69"/>
      <c r="E24" s="69"/>
      <c r="F24" s="69"/>
      <c r="G24" s="69"/>
      <c r="H24" s="69"/>
      <c r="I24" s="105"/>
      <c r="J24" s="69"/>
      <c r="K24" s="69"/>
      <c r="L24" s="106"/>
      <c r="M24" s="106"/>
      <c r="N24" s="105"/>
      <c r="O24" s="69"/>
      <c r="P24" s="106"/>
      <c r="Q24" s="106"/>
      <c r="R24" s="105"/>
      <c r="S24" s="69"/>
      <c r="T24" s="69"/>
      <c r="U24" s="105"/>
      <c r="V24" s="106"/>
      <c r="W24" s="105"/>
      <c r="X24" s="106"/>
      <c r="Y24" s="69"/>
      <c r="Z24" s="106"/>
      <c r="AA24" s="105"/>
      <c r="AB24" s="106"/>
      <c r="AC24" s="69"/>
    </row>
    <row r="25" spans="1:29" s="2" customFormat="1" ht="20.25" customHeight="1" x14ac:dyDescent="0.3">
      <c r="A25" s="69" t="s">
        <v>36</v>
      </c>
      <c r="B25" s="69"/>
      <c r="C25" s="69"/>
      <c r="D25" s="69"/>
      <c r="E25" s="69"/>
      <c r="F25" s="69"/>
      <c r="G25" s="69"/>
      <c r="H25" s="69"/>
      <c r="I25" s="105"/>
      <c r="J25" s="69"/>
      <c r="K25" s="69"/>
      <c r="L25" s="106"/>
      <c r="M25" s="106"/>
      <c r="N25" s="105"/>
      <c r="O25" s="69"/>
      <c r="P25" s="106"/>
      <c r="Q25" s="106"/>
      <c r="R25" s="105"/>
      <c r="S25" s="69"/>
      <c r="T25" s="69"/>
      <c r="U25" s="105"/>
      <c r="V25" s="106"/>
      <c r="W25" s="105"/>
      <c r="X25" s="106"/>
      <c r="Y25" s="69"/>
      <c r="Z25" s="106"/>
      <c r="AA25" s="105"/>
      <c r="AB25" s="106"/>
      <c r="AC25" s="69"/>
    </row>
    <row r="26" spans="1:29" s="2" customFormat="1" ht="20.25" customHeight="1" x14ac:dyDescent="0.3">
      <c r="A26" s="69" t="s">
        <v>37</v>
      </c>
      <c r="B26" s="69"/>
      <c r="C26" s="69"/>
      <c r="D26" s="69"/>
      <c r="E26" s="69"/>
      <c r="F26" s="69"/>
      <c r="G26" s="69"/>
      <c r="H26" s="69"/>
      <c r="I26" s="105"/>
      <c r="J26" s="69"/>
      <c r="K26" s="69"/>
      <c r="L26" s="106"/>
      <c r="M26" s="106"/>
      <c r="N26" s="105"/>
      <c r="O26" s="69"/>
      <c r="P26" s="106"/>
      <c r="Q26" s="106"/>
      <c r="R26" s="105"/>
      <c r="S26" s="69"/>
      <c r="T26" s="69"/>
      <c r="U26" s="105"/>
      <c r="V26" s="106"/>
      <c r="W26" s="105"/>
      <c r="X26" s="106"/>
      <c r="Y26" s="69"/>
      <c r="Z26" s="106"/>
      <c r="AA26" s="105"/>
      <c r="AB26" s="106"/>
      <c r="AC26" s="69"/>
    </row>
    <row r="27" spans="1:29" s="2" customFormat="1" ht="20.25" customHeight="1" x14ac:dyDescent="0.3">
      <c r="A27" s="69" t="s">
        <v>38</v>
      </c>
      <c r="B27" s="69"/>
      <c r="C27" s="69"/>
      <c r="D27" s="69"/>
      <c r="E27" s="69"/>
      <c r="F27" s="69"/>
      <c r="G27" s="69"/>
      <c r="H27" s="69"/>
      <c r="I27" s="105"/>
      <c r="J27" s="69"/>
      <c r="K27" s="69"/>
      <c r="L27" s="106"/>
      <c r="M27" s="106"/>
      <c r="N27" s="105"/>
      <c r="O27" s="69"/>
      <c r="P27" s="106"/>
      <c r="Q27" s="106"/>
      <c r="R27" s="105"/>
      <c r="S27" s="69"/>
      <c r="T27" s="69"/>
      <c r="U27" s="105"/>
      <c r="V27" s="106"/>
      <c r="W27" s="105"/>
      <c r="X27" s="106"/>
      <c r="Y27" s="69"/>
      <c r="Z27" s="106"/>
      <c r="AA27" s="105"/>
      <c r="AB27" s="106"/>
      <c r="AC27" s="69"/>
    </row>
    <row r="28" spans="1:29" s="2" customFormat="1" ht="20.25" customHeight="1" x14ac:dyDescent="0.3">
      <c r="A28" s="69" t="s">
        <v>39</v>
      </c>
      <c r="B28" s="69"/>
      <c r="C28" s="69"/>
      <c r="D28" s="69"/>
      <c r="E28" s="69"/>
      <c r="F28" s="69"/>
      <c r="G28" s="69"/>
      <c r="H28" s="69"/>
      <c r="I28" s="105"/>
      <c r="J28" s="69"/>
      <c r="K28" s="69"/>
      <c r="L28" s="106"/>
      <c r="M28" s="106"/>
      <c r="N28" s="105"/>
      <c r="O28" s="69"/>
      <c r="P28" s="106"/>
      <c r="Q28" s="106"/>
      <c r="R28" s="105"/>
      <c r="S28" s="69"/>
      <c r="T28" s="69"/>
      <c r="U28" s="105"/>
      <c r="V28" s="106"/>
      <c r="W28" s="105"/>
      <c r="X28" s="106"/>
      <c r="Y28" s="69"/>
      <c r="Z28" s="106"/>
      <c r="AA28" s="105"/>
      <c r="AB28" s="106"/>
      <c r="AC28" s="69"/>
    </row>
    <row r="29" spans="1:29" s="2" customFormat="1" ht="20.25" customHeight="1" x14ac:dyDescent="0.3">
      <c r="A29" s="69" t="s">
        <v>40</v>
      </c>
      <c r="B29" s="69"/>
      <c r="C29" s="69"/>
      <c r="D29" s="69"/>
      <c r="E29" s="69"/>
      <c r="F29" s="69"/>
      <c r="G29" s="69"/>
      <c r="H29" s="69"/>
      <c r="I29" s="105"/>
      <c r="J29" s="69"/>
      <c r="K29" s="69"/>
      <c r="L29" s="106"/>
      <c r="M29" s="106"/>
      <c r="N29" s="105"/>
      <c r="O29" s="69"/>
      <c r="P29" s="106"/>
      <c r="Q29" s="106"/>
      <c r="R29" s="105"/>
      <c r="S29" s="69"/>
      <c r="T29" s="69"/>
      <c r="U29" s="105"/>
      <c r="V29" s="106"/>
      <c r="W29" s="105"/>
      <c r="X29" s="106"/>
      <c r="Y29" s="69"/>
      <c r="Z29" s="106"/>
      <c r="AA29" s="105"/>
      <c r="AB29" s="106"/>
      <c r="AC29" s="69"/>
    </row>
    <row r="30" spans="1:29" s="2" customFormat="1" ht="20.25" customHeight="1" x14ac:dyDescent="0.3">
      <c r="A30" s="69" t="s">
        <v>41</v>
      </c>
      <c r="B30" s="69"/>
      <c r="C30" s="69"/>
      <c r="D30" s="69"/>
      <c r="E30" s="69"/>
      <c r="F30" s="69"/>
      <c r="G30" s="69"/>
      <c r="H30" s="69"/>
      <c r="I30" s="105"/>
      <c r="J30" s="69"/>
      <c r="K30" s="69"/>
      <c r="L30" s="106"/>
      <c r="M30" s="106"/>
      <c r="N30" s="105"/>
      <c r="O30" s="69"/>
      <c r="P30" s="106"/>
      <c r="Q30" s="106"/>
      <c r="R30" s="105"/>
      <c r="S30" s="69"/>
      <c r="T30" s="69"/>
      <c r="U30" s="105"/>
      <c r="V30" s="106"/>
      <c r="W30" s="105"/>
      <c r="X30" s="106"/>
      <c r="Y30" s="69"/>
      <c r="Z30" s="106"/>
      <c r="AA30" s="105"/>
      <c r="AB30" s="106"/>
      <c r="AC30" s="69"/>
    </row>
    <row r="31" spans="1:29" s="2" customFormat="1" ht="20.25" customHeight="1" x14ac:dyDescent="0.3">
      <c r="A31" s="69" t="s">
        <v>42</v>
      </c>
      <c r="B31" s="69"/>
      <c r="C31" s="69"/>
      <c r="D31" s="69"/>
      <c r="E31" s="69"/>
      <c r="F31" s="69"/>
      <c r="G31" s="69"/>
      <c r="H31" s="69"/>
      <c r="I31" s="105"/>
      <c r="J31" s="69"/>
      <c r="K31" s="69"/>
      <c r="L31" s="106"/>
      <c r="M31" s="106"/>
      <c r="N31" s="105"/>
      <c r="O31" s="69"/>
      <c r="P31" s="106"/>
      <c r="Q31" s="106"/>
      <c r="R31" s="105"/>
      <c r="S31" s="69"/>
      <c r="T31" s="69"/>
      <c r="U31" s="105"/>
      <c r="V31" s="106"/>
      <c r="W31" s="105"/>
      <c r="X31" s="106"/>
      <c r="Y31" s="69"/>
      <c r="Z31" s="106"/>
      <c r="AA31" s="105"/>
      <c r="AB31" s="106"/>
      <c r="AC31" s="69"/>
    </row>
    <row r="32" spans="1:29" s="2" customFormat="1" ht="20.25" customHeight="1" x14ac:dyDescent="0.3">
      <c r="A32" s="69" t="s">
        <v>43</v>
      </c>
      <c r="B32" s="69"/>
      <c r="C32" s="69"/>
      <c r="D32" s="69"/>
      <c r="E32" s="69"/>
      <c r="F32" s="69"/>
      <c r="G32" s="69"/>
      <c r="H32" s="69"/>
      <c r="I32" s="105"/>
      <c r="J32" s="69"/>
      <c r="K32" s="69"/>
      <c r="L32" s="106"/>
      <c r="M32" s="106"/>
      <c r="N32" s="105"/>
      <c r="O32" s="69"/>
      <c r="P32" s="106"/>
      <c r="Q32" s="106"/>
      <c r="R32" s="105"/>
      <c r="S32" s="69"/>
      <c r="T32" s="69"/>
      <c r="U32" s="105"/>
      <c r="V32" s="106"/>
      <c r="W32" s="105"/>
      <c r="X32" s="106"/>
      <c r="Y32" s="69"/>
      <c r="Z32" s="106"/>
      <c r="AA32" s="105"/>
      <c r="AB32" s="106"/>
      <c r="AC32" s="69"/>
    </row>
    <row r="33" spans="1:29" s="2" customFormat="1" ht="20.25" customHeight="1" x14ac:dyDescent="0.3">
      <c r="A33" s="69" t="s">
        <v>44</v>
      </c>
      <c r="B33" s="69"/>
      <c r="C33" s="69"/>
      <c r="D33" s="69"/>
      <c r="E33" s="69"/>
      <c r="F33" s="69"/>
      <c r="G33" s="69"/>
      <c r="H33" s="69"/>
      <c r="I33" s="105"/>
      <c r="J33" s="69"/>
      <c r="K33" s="69"/>
      <c r="L33" s="106"/>
      <c r="M33" s="106"/>
      <c r="N33" s="105"/>
      <c r="O33" s="69"/>
      <c r="P33" s="106"/>
      <c r="Q33" s="106"/>
      <c r="R33" s="105"/>
      <c r="S33" s="69"/>
      <c r="T33" s="69"/>
      <c r="U33" s="105"/>
      <c r="V33" s="106"/>
      <c r="W33" s="105"/>
      <c r="X33" s="106"/>
      <c r="Y33" s="69"/>
      <c r="Z33" s="106"/>
      <c r="AA33" s="105"/>
      <c r="AB33" s="106"/>
      <c r="AC33" s="69"/>
    </row>
    <row r="34" spans="1:29" s="2" customFormat="1" ht="20.25" customHeight="1" x14ac:dyDescent="0.3">
      <c r="A34" s="69" t="s">
        <v>45</v>
      </c>
      <c r="B34" s="69"/>
      <c r="C34" s="69"/>
      <c r="D34" s="69"/>
      <c r="E34" s="69"/>
      <c r="F34" s="69"/>
      <c r="G34" s="69"/>
      <c r="H34" s="69"/>
      <c r="I34" s="105"/>
      <c r="J34" s="69"/>
      <c r="K34" s="69"/>
      <c r="L34" s="106"/>
      <c r="M34" s="106"/>
      <c r="N34" s="105"/>
      <c r="O34" s="69"/>
      <c r="P34" s="106"/>
      <c r="Q34" s="106"/>
      <c r="R34" s="105"/>
      <c r="S34" s="69"/>
      <c r="T34" s="69"/>
      <c r="U34" s="105"/>
      <c r="V34" s="106"/>
      <c r="W34" s="105"/>
      <c r="X34" s="106"/>
      <c r="Y34" s="69"/>
      <c r="Z34" s="106"/>
      <c r="AA34" s="105"/>
      <c r="AB34" s="106"/>
      <c r="AC34" s="69"/>
    </row>
    <row r="35" spans="1:29" s="2" customFormat="1" ht="20.25" customHeight="1" x14ac:dyDescent="0.3">
      <c r="A35" s="69" t="s">
        <v>46</v>
      </c>
      <c r="B35" s="69"/>
      <c r="C35" s="69"/>
      <c r="D35" s="69"/>
      <c r="E35" s="69"/>
      <c r="F35" s="69"/>
      <c r="G35" s="69"/>
      <c r="H35" s="69"/>
      <c r="I35" s="105"/>
      <c r="J35" s="69"/>
      <c r="K35" s="69"/>
      <c r="L35" s="106"/>
      <c r="M35" s="106"/>
      <c r="N35" s="105"/>
      <c r="O35" s="69"/>
      <c r="P35" s="106"/>
      <c r="Q35" s="106"/>
      <c r="R35" s="105"/>
      <c r="S35" s="69"/>
      <c r="T35" s="69"/>
      <c r="U35" s="105"/>
      <c r="V35" s="106"/>
      <c r="W35" s="105"/>
      <c r="X35" s="106"/>
      <c r="Y35" s="69"/>
      <c r="Z35" s="106"/>
      <c r="AA35" s="105"/>
      <c r="AB35" s="106"/>
      <c r="AC35" s="69"/>
    </row>
    <row r="36" spans="1:29" s="2" customFormat="1" ht="20.25" customHeight="1" x14ac:dyDescent="0.3">
      <c r="A36" s="69" t="s">
        <v>47</v>
      </c>
      <c r="B36" s="69"/>
      <c r="C36" s="69"/>
      <c r="D36" s="69"/>
      <c r="E36" s="69"/>
      <c r="F36" s="69"/>
      <c r="G36" s="69"/>
      <c r="H36" s="69"/>
      <c r="I36" s="105"/>
      <c r="J36" s="69"/>
      <c r="K36" s="69"/>
      <c r="L36" s="106"/>
      <c r="M36" s="106"/>
      <c r="N36" s="105"/>
      <c r="O36" s="69"/>
      <c r="P36" s="106"/>
      <c r="Q36" s="106"/>
      <c r="R36" s="105"/>
      <c r="S36" s="69"/>
      <c r="T36" s="69"/>
      <c r="U36" s="105"/>
      <c r="V36" s="106"/>
      <c r="W36" s="105"/>
      <c r="X36" s="106"/>
      <c r="Y36" s="69"/>
      <c r="Z36" s="106"/>
      <c r="AA36" s="105"/>
      <c r="AB36" s="106"/>
      <c r="AC36" s="69"/>
    </row>
    <row r="37" spans="1:29" s="2" customFormat="1" ht="20.25" customHeight="1" x14ac:dyDescent="0.3">
      <c r="A37" s="69" t="s">
        <v>48</v>
      </c>
      <c r="B37" s="69"/>
      <c r="C37" s="69"/>
      <c r="D37" s="69"/>
      <c r="E37" s="69"/>
      <c r="F37" s="69"/>
      <c r="G37" s="69"/>
      <c r="H37" s="69"/>
      <c r="I37" s="105"/>
      <c r="J37" s="69"/>
      <c r="K37" s="69"/>
      <c r="L37" s="106"/>
      <c r="M37" s="106"/>
      <c r="N37" s="105"/>
      <c r="O37" s="69"/>
      <c r="P37" s="106"/>
      <c r="Q37" s="106"/>
      <c r="R37" s="105"/>
      <c r="S37" s="69"/>
      <c r="T37" s="69"/>
      <c r="U37" s="105"/>
      <c r="V37" s="106"/>
      <c r="W37" s="105"/>
      <c r="X37" s="106"/>
      <c r="Y37" s="69"/>
      <c r="Z37" s="106"/>
      <c r="AA37" s="105"/>
      <c r="AB37" s="106"/>
      <c r="AC37" s="69"/>
    </row>
    <row r="38" spans="1:29" s="2" customFormat="1" ht="20.25" customHeight="1" x14ac:dyDescent="0.3">
      <c r="A38" s="69" t="s">
        <v>49</v>
      </c>
      <c r="B38" s="69"/>
      <c r="C38" s="69"/>
      <c r="D38" s="69"/>
      <c r="E38" s="69"/>
      <c r="F38" s="69"/>
      <c r="G38" s="69"/>
      <c r="H38" s="69"/>
      <c r="I38" s="105"/>
      <c r="J38" s="69"/>
      <c r="K38" s="69"/>
      <c r="L38" s="106"/>
      <c r="M38" s="106"/>
      <c r="N38" s="105"/>
      <c r="O38" s="69"/>
      <c r="P38" s="106"/>
      <c r="Q38" s="106"/>
      <c r="R38" s="105"/>
      <c r="S38" s="69"/>
      <c r="T38" s="69"/>
      <c r="U38" s="105"/>
      <c r="V38" s="106"/>
      <c r="W38" s="105"/>
      <c r="X38" s="106"/>
      <c r="Y38" s="69"/>
      <c r="Z38" s="106"/>
      <c r="AA38" s="105"/>
      <c r="AB38" s="106"/>
      <c r="AC38" s="69"/>
    </row>
    <row r="39" spans="1:29" s="2" customFormat="1" ht="20.25" customHeight="1" x14ac:dyDescent="0.3">
      <c r="A39" s="69" t="s">
        <v>50</v>
      </c>
      <c r="B39" s="69"/>
      <c r="C39" s="69"/>
      <c r="D39" s="69"/>
      <c r="E39" s="69"/>
      <c r="F39" s="69"/>
      <c r="G39" s="69"/>
      <c r="H39" s="69"/>
      <c r="I39" s="105"/>
      <c r="J39" s="69"/>
      <c r="K39" s="69"/>
      <c r="L39" s="106"/>
      <c r="M39" s="106"/>
      <c r="N39" s="105"/>
      <c r="O39" s="69"/>
      <c r="P39" s="106"/>
      <c r="Q39" s="106"/>
      <c r="R39" s="105"/>
      <c r="S39" s="69"/>
      <c r="T39" s="69"/>
      <c r="U39" s="105"/>
      <c r="V39" s="106"/>
      <c r="W39" s="105"/>
      <c r="X39" s="106"/>
      <c r="Y39" s="69"/>
      <c r="Z39" s="106"/>
      <c r="AA39" s="105"/>
      <c r="AB39" s="106"/>
      <c r="AC39" s="69"/>
    </row>
    <row r="40" spans="1:29" s="2" customFormat="1" ht="20.25" customHeight="1" x14ac:dyDescent="0.3">
      <c r="A40" s="69" t="s">
        <v>51</v>
      </c>
      <c r="B40" s="69"/>
      <c r="C40" s="69"/>
      <c r="D40" s="69"/>
      <c r="E40" s="69"/>
      <c r="F40" s="69"/>
      <c r="G40" s="69"/>
      <c r="H40" s="69"/>
      <c r="I40" s="105"/>
      <c r="J40" s="69"/>
      <c r="K40" s="69"/>
      <c r="L40" s="106"/>
      <c r="M40" s="106"/>
      <c r="N40" s="105"/>
      <c r="O40" s="69"/>
      <c r="P40" s="106"/>
      <c r="Q40" s="106"/>
      <c r="R40" s="105"/>
      <c r="S40" s="69"/>
      <c r="T40" s="69"/>
      <c r="U40" s="105"/>
      <c r="V40" s="106"/>
      <c r="W40" s="105"/>
      <c r="X40" s="106"/>
      <c r="Y40" s="69"/>
      <c r="Z40" s="106"/>
      <c r="AA40" s="105"/>
      <c r="AB40" s="106"/>
      <c r="AC40" s="69"/>
    </row>
    <row r="41" spans="1:29" s="2" customFormat="1" ht="20.25" customHeight="1" x14ac:dyDescent="0.3">
      <c r="A41" s="69" t="s">
        <v>52</v>
      </c>
      <c r="B41" s="69"/>
      <c r="C41" s="69"/>
      <c r="D41" s="69"/>
      <c r="E41" s="69"/>
      <c r="F41" s="69"/>
      <c r="G41" s="69"/>
      <c r="H41" s="69"/>
      <c r="I41" s="105"/>
      <c r="J41" s="69"/>
      <c r="K41" s="69"/>
      <c r="L41" s="106"/>
      <c r="M41" s="106"/>
      <c r="N41" s="105"/>
      <c r="O41" s="69"/>
      <c r="P41" s="106"/>
      <c r="Q41" s="106"/>
      <c r="R41" s="105"/>
      <c r="S41" s="69"/>
      <c r="T41" s="69"/>
      <c r="U41" s="105"/>
      <c r="V41" s="106"/>
      <c r="W41" s="105"/>
      <c r="X41" s="106"/>
      <c r="Y41" s="69"/>
      <c r="Z41" s="106"/>
      <c r="AA41" s="105"/>
      <c r="AB41" s="106"/>
      <c r="AC41" s="69"/>
    </row>
    <row r="42" spans="1:29" s="2" customFormat="1" ht="20.25" customHeight="1" x14ac:dyDescent="0.3">
      <c r="A42" s="69" t="s">
        <v>53</v>
      </c>
      <c r="B42" s="69"/>
      <c r="C42" s="69"/>
      <c r="D42" s="69"/>
      <c r="E42" s="69"/>
      <c r="F42" s="69"/>
      <c r="G42" s="69"/>
      <c r="H42" s="69"/>
      <c r="I42" s="105"/>
      <c r="J42" s="69"/>
      <c r="K42" s="69"/>
      <c r="L42" s="106"/>
      <c r="M42" s="106"/>
      <c r="N42" s="105"/>
      <c r="O42" s="69"/>
      <c r="P42" s="106"/>
      <c r="Q42" s="106"/>
      <c r="R42" s="105"/>
      <c r="S42" s="69"/>
      <c r="T42" s="69"/>
      <c r="U42" s="105"/>
      <c r="V42" s="106"/>
      <c r="W42" s="105"/>
      <c r="X42" s="106"/>
      <c r="Y42" s="69"/>
      <c r="Z42" s="106"/>
      <c r="AA42" s="105"/>
      <c r="AB42" s="106"/>
      <c r="AC42" s="69"/>
    </row>
    <row r="43" spans="1:29" s="112" customFormat="1" ht="18.75" customHeight="1" x14ac:dyDescent="0.3">
      <c r="A43" s="114" t="s">
        <v>141</v>
      </c>
      <c r="B43" s="114">
        <f t="shared" ref="B43:H43" si="1">B6</f>
        <v>1.95</v>
      </c>
      <c r="C43" s="114">
        <f t="shared" si="1"/>
        <v>0.54999999999999993</v>
      </c>
      <c r="D43" s="114">
        <f t="shared" si="1"/>
        <v>0.52</v>
      </c>
      <c r="E43" s="114">
        <f t="shared" si="1"/>
        <v>0.51428571428571435</v>
      </c>
      <c r="F43" s="114">
        <f t="shared" si="1"/>
        <v>0.52500000000000002</v>
      </c>
      <c r="G43" s="114">
        <f t="shared" si="1"/>
        <v>0.64</v>
      </c>
      <c r="H43" s="114">
        <f t="shared" si="1"/>
        <v>0.56666666666666665</v>
      </c>
      <c r="I43" s="115"/>
      <c r="J43" s="114" t="str">
        <f>J6</f>
        <v>No Data</v>
      </c>
      <c r="K43" s="114" t="str">
        <f>K6</f>
        <v>No Data</v>
      </c>
      <c r="L43" s="114" t="str">
        <f>L6</f>
        <v>No Data</v>
      </c>
      <c r="M43" s="114" t="str">
        <f>M6</f>
        <v>No Data</v>
      </c>
      <c r="N43" s="115"/>
      <c r="O43" s="114" t="str">
        <f>O6</f>
        <v>No Data</v>
      </c>
      <c r="P43" s="114" t="str">
        <f>P6</f>
        <v>No Data</v>
      </c>
      <c r="Q43" s="114" t="str">
        <f>Q6</f>
        <v>No Data</v>
      </c>
      <c r="R43" s="115"/>
      <c r="S43" s="114" t="str">
        <f>S6</f>
        <v>No Data</v>
      </c>
      <c r="T43" s="114" t="str">
        <f>T6</f>
        <v>No Data</v>
      </c>
      <c r="U43" s="115"/>
      <c r="V43" s="114" t="str">
        <f>V6</f>
        <v>No Data</v>
      </c>
      <c r="W43" s="115"/>
      <c r="X43" s="114" t="str">
        <f>X6</f>
        <v>No Data</v>
      </c>
      <c r="Y43" s="114" t="str">
        <f>Y6</f>
        <v>No Data</v>
      </c>
      <c r="Z43" s="114" t="str">
        <f>Z6</f>
        <v>No Data</v>
      </c>
      <c r="AA43" s="115"/>
      <c r="AB43" s="114" t="str">
        <f>AB6</f>
        <v>No Data</v>
      </c>
      <c r="AC43" s="114" t="str">
        <f>AC6</f>
        <v>No Data</v>
      </c>
    </row>
    <row r="44" spans="1:29" s="50" customFormat="1" ht="48.75" customHeight="1" x14ac:dyDescent="0.35">
      <c r="I44" s="90"/>
      <c r="N44" s="90"/>
      <c r="R44" s="90"/>
      <c r="U44" s="90"/>
      <c r="W44" s="90"/>
      <c r="AA44" s="90"/>
    </row>
    <row r="45" spans="1:29" ht="27" customHeight="1" x14ac:dyDescent="0.35">
      <c r="C45" s="1"/>
    </row>
    <row r="46" spans="1:29" ht="27" customHeight="1" x14ac:dyDescent="0.35">
      <c r="C46" s="1"/>
    </row>
    <row r="47" spans="1:29" ht="44.1" customHeight="1" x14ac:dyDescent="0.35">
      <c r="A47" s="10"/>
      <c r="B47" s="10"/>
      <c r="C47" s="9"/>
      <c r="D47" s="9"/>
      <c r="E47" s="9"/>
      <c r="F47" s="9"/>
      <c r="G47" s="9"/>
      <c r="H47" s="9"/>
    </row>
    <row r="48" spans="1:29" ht="45" customHeight="1" x14ac:dyDescent="0.35">
      <c r="A48" s="10"/>
      <c r="B48" s="10"/>
      <c r="C48" s="9"/>
      <c r="D48" s="9"/>
      <c r="E48" s="9"/>
    </row>
    <row r="49" spans="3:3" x14ac:dyDescent="0.35">
      <c r="C49" s="1"/>
    </row>
    <row r="50" spans="3:3" x14ac:dyDescent="0.35">
      <c r="C50" s="1"/>
    </row>
    <row r="51" spans="3:3" x14ac:dyDescent="0.35">
      <c r="C51" s="1"/>
    </row>
    <row r="52" spans="3:3" x14ac:dyDescent="0.35">
      <c r="C52" s="1"/>
    </row>
    <row r="53" spans="3:3" x14ac:dyDescent="0.35">
      <c r="C53" s="1"/>
    </row>
    <row r="54" spans="3:3" x14ac:dyDescent="0.35">
      <c r="C54" s="1"/>
    </row>
    <row r="55" spans="3:3" ht="29.25" customHeight="1" x14ac:dyDescent="0.35">
      <c r="C55" s="1"/>
    </row>
    <row r="56" spans="3:3" x14ac:dyDescent="0.35">
      <c r="C56" s="1"/>
    </row>
    <row r="57" spans="3:3" x14ac:dyDescent="0.35">
      <c r="C57" s="1"/>
    </row>
    <row r="58" spans="3:3" ht="45" customHeight="1" x14ac:dyDescent="0.35">
      <c r="C58" s="1"/>
    </row>
    <row r="59" spans="3:3" x14ac:dyDescent="0.35">
      <c r="C59" s="1"/>
    </row>
    <row r="60" spans="3:3" x14ac:dyDescent="0.35">
      <c r="C60" s="1"/>
    </row>
    <row r="61" spans="3:3" x14ac:dyDescent="0.35">
      <c r="C61" s="1"/>
    </row>
    <row r="62" spans="3:3" x14ac:dyDescent="0.35">
      <c r="C62" s="1"/>
    </row>
    <row r="63" spans="3:3" x14ac:dyDescent="0.35">
      <c r="C63" s="1"/>
    </row>
    <row r="64" spans="3:3" x14ac:dyDescent="0.35">
      <c r="C64" s="1"/>
    </row>
    <row r="65" spans="3:3" ht="30" customHeight="1" x14ac:dyDescent="0.35">
      <c r="C65" s="1"/>
    </row>
    <row r="66" spans="3:3" x14ac:dyDescent="0.35">
      <c r="C66" s="1"/>
    </row>
    <row r="67" spans="3:3" x14ac:dyDescent="0.35">
      <c r="C67" s="1"/>
    </row>
    <row r="68" spans="3:3" ht="45" customHeight="1" x14ac:dyDescent="0.35"/>
    <row r="69" spans="3:3" x14ac:dyDescent="0.35">
      <c r="C69" s="1"/>
    </row>
    <row r="70" spans="3:3" x14ac:dyDescent="0.35">
      <c r="C70" s="1"/>
    </row>
    <row r="71" spans="3:3" x14ac:dyDescent="0.35">
      <c r="C71" s="1"/>
    </row>
    <row r="72" spans="3:3" x14ac:dyDescent="0.35">
      <c r="C72" s="1"/>
    </row>
    <row r="73" spans="3:3" x14ac:dyDescent="0.35">
      <c r="C73" s="1"/>
    </row>
    <row r="74" spans="3:3" x14ac:dyDescent="0.35">
      <c r="C74" s="1"/>
    </row>
    <row r="75" spans="3:3" ht="30" customHeight="1" x14ac:dyDescent="0.35">
      <c r="C75" s="1"/>
    </row>
    <row r="76" spans="3:3" x14ac:dyDescent="0.35">
      <c r="C76" s="1"/>
    </row>
    <row r="77" spans="3:3" x14ac:dyDescent="0.35">
      <c r="C77" s="1"/>
    </row>
    <row r="78" spans="3:3" ht="45" customHeight="1" x14ac:dyDescent="0.35">
      <c r="C78" s="1"/>
    </row>
    <row r="79" spans="3:3" ht="35.25" customHeight="1" x14ac:dyDescent="0.35">
      <c r="C79" s="1"/>
    </row>
    <row r="80" spans="3:3" x14ac:dyDescent="0.35">
      <c r="C80" s="1"/>
    </row>
    <row r="81" spans="3:3" x14ac:dyDescent="0.35">
      <c r="C81" s="1"/>
    </row>
    <row r="82" spans="3:3" x14ac:dyDescent="0.35">
      <c r="C82" s="1"/>
    </row>
    <row r="83" spans="3:3" x14ac:dyDescent="0.35">
      <c r="C83" s="1"/>
    </row>
    <row r="84" spans="3:3" x14ac:dyDescent="0.35">
      <c r="C84" s="1"/>
    </row>
    <row r="85" spans="3:3" x14ac:dyDescent="0.35">
      <c r="C85" s="1"/>
    </row>
    <row r="86" spans="3:3" x14ac:dyDescent="0.35">
      <c r="C86" s="1"/>
    </row>
    <row r="87" spans="3:3" x14ac:dyDescent="0.35">
      <c r="C87" s="1"/>
    </row>
    <row r="88" spans="3:3" x14ac:dyDescent="0.35">
      <c r="C88" s="1"/>
    </row>
    <row r="89" spans="3:3" x14ac:dyDescent="0.35">
      <c r="C89" s="1"/>
    </row>
    <row r="90" spans="3:3" ht="30.75" customHeight="1" x14ac:dyDescent="0.35">
      <c r="C90" s="1"/>
    </row>
    <row r="91" spans="3:3" x14ac:dyDescent="0.35">
      <c r="C91" s="1"/>
    </row>
    <row r="92" spans="3:3" x14ac:dyDescent="0.35">
      <c r="C92" s="1"/>
    </row>
    <row r="93" spans="3:3" ht="45" customHeight="1" x14ac:dyDescent="0.35"/>
    <row r="100" ht="30" customHeight="1" x14ac:dyDescent="0.35"/>
    <row r="103" ht="45" customHeight="1" x14ac:dyDescent="0.35"/>
    <row r="110" ht="30" customHeight="1" x14ac:dyDescent="0.35"/>
  </sheetData>
  <sheetProtection formatCells="0" formatColumns="0" formatRows="0" insertColumns="0" insertRows="0" insertHyperlinks="0" deleteColumns="0" deleteRows="0" sort="0" autoFilter="0" pivotTables="0"/>
  <mergeCells count="8">
    <mergeCell ref="A1:C1"/>
    <mergeCell ref="E1:F1"/>
    <mergeCell ref="AA4:AA6"/>
    <mergeCell ref="I4:I6"/>
    <mergeCell ref="N4:N6"/>
    <mergeCell ref="R4:R6"/>
    <mergeCell ref="U4:U6"/>
    <mergeCell ref="W4:W6"/>
  </mergeCells>
  <pageMargins left="0.25" right="0.25" top="0.25" bottom="0.25" header="0.3" footer="0.3"/>
  <pageSetup scale="52" fitToHeight="0"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AB5DF-C79A-4854-BDE7-F18A0C74632E}">
  <sheetPr>
    <tabColor theme="3" tint="0.59999389629810485"/>
  </sheetPr>
  <dimension ref="A1:B86"/>
  <sheetViews>
    <sheetView showGridLines="0" zoomScaleNormal="100" zoomScaleSheetLayoutView="120" zoomScalePageLayoutView="160" workbookViewId="0">
      <selection activeCell="B14" sqref="B14"/>
    </sheetView>
  </sheetViews>
  <sheetFormatPr defaultRowHeight="14.4" x14ac:dyDescent="0.3"/>
  <cols>
    <col min="1" max="1" width="96.44140625" customWidth="1"/>
    <col min="2" max="2" width="96.6640625" customWidth="1"/>
    <col min="13" max="13" width="16.5546875" customWidth="1"/>
  </cols>
  <sheetData>
    <row r="1" spans="1:2" ht="24" customHeight="1" x14ac:dyDescent="0.3">
      <c r="A1" s="160" t="s">
        <v>95</v>
      </c>
      <c r="B1" s="161"/>
    </row>
    <row r="2" spans="1:2" s="130" customFormat="1" ht="45" customHeight="1" x14ac:dyDescent="0.3">
      <c r="A2" s="128" t="str">
        <f>_xlfn.CONCAT("School: ",Cover!F27)</f>
        <v>School: Alice Vail</v>
      </c>
      <c r="B2" s="129">
        <f>Cover!F33</f>
        <v>0</v>
      </c>
    </row>
    <row r="3" spans="1:2" s="19" customFormat="1" ht="18.600000000000001" customHeight="1" x14ac:dyDescent="0.3">
      <c r="A3" s="162"/>
      <c r="B3" s="163"/>
    </row>
    <row r="4" spans="1:2" ht="24" customHeight="1" x14ac:dyDescent="0.3">
      <c r="A4" s="164" t="s">
        <v>96</v>
      </c>
      <c r="B4" s="165"/>
    </row>
    <row r="5" spans="1:2" ht="18" x14ac:dyDescent="0.3">
      <c r="A5" s="26" t="s">
        <v>54</v>
      </c>
      <c r="B5" s="21">
        <f>IFERROR('Fall 2 - Data '!B6,"No Data")</f>
        <v>1.95</v>
      </c>
    </row>
    <row r="6" spans="1:2" ht="18" x14ac:dyDescent="0.3">
      <c r="A6" s="27" t="s">
        <v>55</v>
      </c>
      <c r="B6" s="21">
        <f>IFERROR('Fall 2 - Data '!C6,"No Data")</f>
        <v>0.54999999999999993</v>
      </c>
    </row>
    <row r="7" spans="1:2" ht="18" x14ac:dyDescent="0.3">
      <c r="A7" s="27" t="s">
        <v>56</v>
      </c>
      <c r="B7" s="21">
        <f>IFERROR('Fall 2 - Data '!D6,"No Data")</f>
        <v>0.52</v>
      </c>
    </row>
    <row r="8" spans="1:2" ht="18" x14ac:dyDescent="0.3">
      <c r="A8" s="27" t="s">
        <v>57</v>
      </c>
      <c r="B8" s="21">
        <f>IFERROR('Fall 2 - Data '!E6,"No Data")</f>
        <v>0.51428571428571435</v>
      </c>
    </row>
    <row r="9" spans="1:2" ht="18" x14ac:dyDescent="0.3">
      <c r="A9" s="27" t="s">
        <v>58</v>
      </c>
      <c r="B9" s="21">
        <f>IFERROR('Fall 2 - Data '!F6,"No Data")</f>
        <v>0.52500000000000002</v>
      </c>
    </row>
    <row r="10" spans="1:2" ht="18" x14ac:dyDescent="0.3">
      <c r="A10" s="27" t="s">
        <v>59</v>
      </c>
      <c r="B10" s="21">
        <f>IFERROR('Fall 2 - Data '!G6,"No Data")</f>
        <v>0.64</v>
      </c>
    </row>
    <row r="11" spans="1:2" ht="18" x14ac:dyDescent="0.3">
      <c r="A11" s="28" t="s">
        <v>60</v>
      </c>
      <c r="B11" s="21">
        <f>IFERROR('Fall 2 - Data '!H6,"No Data")</f>
        <v>0.56666666666666665</v>
      </c>
    </row>
    <row r="12" spans="1:2" ht="18" customHeight="1" x14ac:dyDescent="0.3">
      <c r="A12" s="29" t="s">
        <v>97</v>
      </c>
      <c r="B12" s="30" t="s">
        <v>98</v>
      </c>
    </row>
    <row r="13" spans="1:2" ht="57" customHeight="1" thickBot="1" x14ac:dyDescent="0.35">
      <c r="A13" s="44" t="s">
        <v>185</v>
      </c>
      <c r="B13" s="132" t="s">
        <v>186</v>
      </c>
    </row>
    <row r="14" spans="1:2" ht="57" customHeight="1" thickBot="1" x14ac:dyDescent="0.35">
      <c r="A14" s="44" t="s">
        <v>187</v>
      </c>
      <c r="B14" s="132" t="s">
        <v>188</v>
      </c>
    </row>
    <row r="15" spans="1:2" ht="57" customHeight="1" thickBot="1" x14ac:dyDescent="0.35">
      <c r="A15" s="44" t="s">
        <v>189</v>
      </c>
      <c r="B15" s="132" t="s">
        <v>190</v>
      </c>
    </row>
    <row r="16" spans="1:2" ht="24" customHeight="1" x14ac:dyDescent="0.3">
      <c r="A16" s="154" t="s">
        <v>99</v>
      </c>
      <c r="B16" s="155"/>
    </row>
    <row r="17" spans="1:2" s="11" customFormat="1" ht="138.6" customHeight="1" thickBot="1" x14ac:dyDescent="0.35">
      <c r="A17" s="168"/>
      <c r="B17" s="169"/>
    </row>
    <row r="18" spans="1:2" s="11" customFormat="1" ht="18.75" customHeight="1" thickBot="1" x14ac:dyDescent="0.35">
      <c r="A18" s="22"/>
      <c r="B18" s="23"/>
    </row>
    <row r="19" spans="1:2" s="11" customFormat="1" ht="15" customHeight="1" x14ac:dyDescent="0.3">
      <c r="A19" s="154" t="s">
        <v>100</v>
      </c>
      <c r="B19" s="155"/>
    </row>
    <row r="20" spans="1:2" s="11" customFormat="1" ht="15" customHeight="1" x14ac:dyDescent="0.3">
      <c r="A20" s="26" t="s">
        <v>101</v>
      </c>
      <c r="B20" s="21" t="str">
        <f>'Fall 2 - Data '!J6</f>
        <v>No Data</v>
      </c>
    </row>
    <row r="21" spans="1:2" s="11" customFormat="1" ht="18" customHeight="1" x14ac:dyDescent="0.3">
      <c r="A21" s="26" t="s">
        <v>102</v>
      </c>
      <c r="B21" s="21" t="str">
        <f>'Fall 2 - Data '!K6</f>
        <v>No Data</v>
      </c>
    </row>
    <row r="22" spans="1:2" s="11" customFormat="1" ht="15" customHeight="1" x14ac:dyDescent="0.3">
      <c r="A22" s="26" t="s">
        <v>68</v>
      </c>
      <c r="B22" s="5" t="str">
        <f>'Fall 2 - Data '!L6</f>
        <v>No Data</v>
      </c>
    </row>
    <row r="23" spans="1:2" s="11" customFormat="1" ht="18" customHeight="1" x14ac:dyDescent="0.3">
      <c r="A23" s="26" t="s">
        <v>69</v>
      </c>
      <c r="B23" s="5" t="str">
        <f>'Fall 2 - Data '!M6</f>
        <v>No Data</v>
      </c>
    </row>
    <row r="24" spans="1:2" s="11" customFormat="1" ht="20.100000000000001" customHeight="1" x14ac:dyDescent="0.3">
      <c r="A24" s="29" t="s">
        <v>97</v>
      </c>
      <c r="B24" s="30" t="s">
        <v>98</v>
      </c>
    </row>
    <row r="25" spans="1:2" s="11" customFormat="1" ht="98.4" customHeight="1" x14ac:dyDescent="0.3">
      <c r="A25" s="31" t="s">
        <v>103</v>
      </c>
      <c r="B25" s="32" t="s">
        <v>103</v>
      </c>
    </row>
    <row r="26" spans="1:2" s="11" customFormat="1" ht="24" customHeight="1" x14ac:dyDescent="0.3">
      <c r="A26" s="194" t="s">
        <v>104</v>
      </c>
      <c r="B26" s="195"/>
    </row>
    <row r="27" spans="1:2" s="11" customFormat="1" ht="110.1" customHeight="1" thickBot="1" x14ac:dyDescent="0.35">
      <c r="A27" s="156" t="s">
        <v>105</v>
      </c>
      <c r="B27" s="157"/>
    </row>
    <row r="28" spans="1:2" s="11" customFormat="1" ht="15" customHeight="1" thickBot="1" x14ac:dyDescent="0.35">
      <c r="A28" s="20"/>
      <c r="B28" s="20"/>
    </row>
    <row r="29" spans="1:2" s="11" customFormat="1" ht="15" customHeight="1" x14ac:dyDescent="0.3">
      <c r="A29" s="154" t="s">
        <v>106</v>
      </c>
      <c r="B29" s="155"/>
    </row>
    <row r="30" spans="1:2" s="11" customFormat="1" ht="18" customHeight="1" x14ac:dyDescent="0.3">
      <c r="A30" s="26" t="s">
        <v>107</v>
      </c>
      <c r="B30" s="21" t="str">
        <f>'Fall 2 - Data '!O6</f>
        <v>No Data</v>
      </c>
    </row>
    <row r="31" spans="1:2" s="11" customFormat="1" ht="23.1" customHeight="1" x14ac:dyDescent="0.3">
      <c r="A31" s="26" t="s">
        <v>75</v>
      </c>
      <c r="B31" s="21" t="str">
        <f>'Fall 2 - Data '!P6</f>
        <v>No Data</v>
      </c>
    </row>
    <row r="32" spans="1:2" s="11" customFormat="1" ht="18" customHeight="1" x14ac:dyDescent="0.3">
      <c r="A32" s="26" t="s">
        <v>108</v>
      </c>
      <c r="B32" s="21" t="str">
        <f>'Fall 2 - Data '!Q6</f>
        <v>No Data</v>
      </c>
    </row>
    <row r="33" spans="1:2" s="11" customFormat="1" ht="17.399999999999999" customHeight="1" x14ac:dyDescent="0.3">
      <c r="A33" s="29" t="s">
        <v>97</v>
      </c>
      <c r="B33" s="30" t="s">
        <v>98</v>
      </c>
    </row>
    <row r="34" spans="1:2" s="11" customFormat="1" ht="114.75" customHeight="1" x14ac:dyDescent="0.3">
      <c r="A34" s="31" t="s">
        <v>103</v>
      </c>
      <c r="B34" s="32" t="s">
        <v>103</v>
      </c>
    </row>
    <row r="35" spans="1:2" s="11" customFormat="1" ht="24" customHeight="1" x14ac:dyDescent="0.3">
      <c r="A35" s="158" t="s">
        <v>104</v>
      </c>
      <c r="B35" s="159"/>
    </row>
    <row r="36" spans="1:2" s="11" customFormat="1" ht="112.5" customHeight="1" thickBot="1" x14ac:dyDescent="0.35">
      <c r="A36" s="156"/>
      <c r="B36" s="157"/>
    </row>
    <row r="37" spans="1:2" s="11" customFormat="1" ht="15" customHeight="1" thickBot="1" x14ac:dyDescent="0.35">
      <c r="A37" s="20"/>
      <c r="B37" s="20"/>
    </row>
    <row r="38" spans="1:2" s="11" customFormat="1" ht="18" customHeight="1" x14ac:dyDescent="0.3">
      <c r="A38" s="154" t="s">
        <v>111</v>
      </c>
      <c r="B38" s="155"/>
    </row>
    <row r="39" spans="1:2" s="11" customFormat="1" ht="20.399999999999999" customHeight="1" x14ac:dyDescent="0.3">
      <c r="A39" s="26" t="s">
        <v>80</v>
      </c>
      <c r="B39" s="21" t="str">
        <f>'Fall 2 - Data '!S6</f>
        <v>No Data</v>
      </c>
    </row>
    <row r="40" spans="1:2" s="11" customFormat="1" ht="18" customHeight="1" x14ac:dyDescent="0.3">
      <c r="A40" s="26" t="s">
        <v>81</v>
      </c>
      <c r="B40" s="21" t="str">
        <f>'Fall 2 - Data '!T6</f>
        <v>No Data</v>
      </c>
    </row>
    <row r="41" spans="1:2" s="11" customFormat="1" ht="20.399999999999999" customHeight="1" x14ac:dyDescent="0.3">
      <c r="A41" s="29" t="s">
        <v>97</v>
      </c>
      <c r="B41" s="30" t="s">
        <v>98</v>
      </c>
    </row>
    <row r="42" spans="1:2" s="11" customFormat="1" ht="105.9" customHeight="1" x14ac:dyDescent="0.3">
      <c r="A42" s="31" t="s">
        <v>110</v>
      </c>
      <c r="B42" s="32" t="s">
        <v>112</v>
      </c>
    </row>
    <row r="43" spans="1:2" s="11" customFormat="1" ht="24" customHeight="1" x14ac:dyDescent="0.3">
      <c r="A43" s="158" t="s">
        <v>104</v>
      </c>
      <c r="B43" s="159"/>
    </row>
    <row r="44" spans="1:2" s="11" customFormat="1" ht="96.6" customHeight="1" thickBot="1" x14ac:dyDescent="0.35">
      <c r="A44" s="156"/>
      <c r="B44" s="157"/>
    </row>
    <row r="45" spans="1:2" s="11" customFormat="1" ht="18" customHeight="1" thickBot="1" x14ac:dyDescent="0.35">
      <c r="A45" s="20"/>
      <c r="B45" s="20"/>
    </row>
    <row r="46" spans="1:2" s="11" customFormat="1" ht="19.5" customHeight="1" x14ac:dyDescent="0.3">
      <c r="A46" s="154" t="s">
        <v>113</v>
      </c>
      <c r="B46" s="155"/>
    </row>
    <row r="47" spans="1:2" s="11" customFormat="1" ht="18" customHeight="1" x14ac:dyDescent="0.3">
      <c r="A47" s="33" t="s">
        <v>80</v>
      </c>
      <c r="B47" s="21" t="str">
        <f>'Fall 2 - Data '!V6</f>
        <v>No Data</v>
      </c>
    </row>
    <row r="48" spans="1:2" s="11" customFormat="1" ht="23.4" customHeight="1" x14ac:dyDescent="0.3">
      <c r="A48" s="29" t="s">
        <v>97</v>
      </c>
      <c r="B48" s="30" t="s">
        <v>98</v>
      </c>
    </row>
    <row r="49" spans="1:2" s="11" customFormat="1" ht="99" customHeight="1" x14ac:dyDescent="0.3">
      <c r="A49" s="31" t="s">
        <v>110</v>
      </c>
      <c r="B49" s="32" t="s">
        <v>110</v>
      </c>
    </row>
    <row r="50" spans="1:2" s="11" customFormat="1" ht="24.75" customHeight="1" x14ac:dyDescent="0.3">
      <c r="A50" s="158" t="s">
        <v>104</v>
      </c>
      <c r="B50" s="159"/>
    </row>
    <row r="51" spans="1:2" s="11" customFormat="1" ht="110.4" customHeight="1" thickBot="1" x14ac:dyDescent="0.35">
      <c r="A51" s="156"/>
      <c r="B51" s="157"/>
    </row>
    <row r="52" spans="1:2" s="11" customFormat="1" ht="15" customHeight="1" thickBot="1" x14ac:dyDescent="0.35">
      <c r="A52" s="20"/>
      <c r="B52" s="20"/>
    </row>
    <row r="53" spans="1:2" s="11" customFormat="1" ht="15" customHeight="1" x14ac:dyDescent="0.3">
      <c r="A53" s="154" t="s">
        <v>114</v>
      </c>
      <c r="B53" s="155"/>
    </row>
    <row r="54" spans="1:2" s="11" customFormat="1" ht="18" customHeight="1" x14ac:dyDescent="0.3">
      <c r="A54" s="26" t="s">
        <v>88</v>
      </c>
      <c r="B54" s="21" t="str">
        <f>'Fall 2 - Data '!X6</f>
        <v>No Data</v>
      </c>
    </row>
    <row r="55" spans="1:2" s="11" customFormat="1" ht="23.4" customHeight="1" x14ac:dyDescent="0.3">
      <c r="A55" s="26" t="s">
        <v>115</v>
      </c>
      <c r="B55" s="21" t="str">
        <f>'Fall 2 - Data '!Y6</f>
        <v>No Data</v>
      </c>
    </row>
    <row r="56" spans="1:2" s="11" customFormat="1" ht="24" customHeight="1" x14ac:dyDescent="0.3">
      <c r="A56" s="26" t="s">
        <v>89</v>
      </c>
      <c r="B56" s="21" t="str">
        <f>'Fall 2 - Data '!Z6</f>
        <v>No Data</v>
      </c>
    </row>
    <row r="57" spans="1:2" s="11" customFormat="1" ht="20.399999999999999" customHeight="1" x14ac:dyDescent="0.3">
      <c r="A57" s="29" t="s">
        <v>97</v>
      </c>
      <c r="B57" s="30" t="s">
        <v>98</v>
      </c>
    </row>
    <row r="58" spans="1:2" s="11" customFormat="1" ht="102.6" customHeight="1" x14ac:dyDescent="0.3">
      <c r="A58" s="31" t="s">
        <v>110</v>
      </c>
      <c r="B58" s="32" t="s">
        <v>109</v>
      </c>
    </row>
    <row r="59" spans="1:2" s="11" customFormat="1" ht="24" customHeight="1" x14ac:dyDescent="0.3">
      <c r="A59" s="158" t="s">
        <v>104</v>
      </c>
      <c r="B59" s="159"/>
    </row>
    <row r="60" spans="1:2" s="11" customFormat="1" ht="111.6" customHeight="1" thickBot="1" x14ac:dyDescent="0.35">
      <c r="A60" s="156"/>
      <c r="B60" s="157"/>
    </row>
    <row r="61" spans="1:2" s="11" customFormat="1" ht="15" customHeight="1" thickBot="1" x14ac:dyDescent="0.35">
      <c r="A61" s="20"/>
      <c r="B61" s="20"/>
    </row>
    <row r="62" spans="1:2" s="11" customFormat="1" ht="18" customHeight="1" x14ac:dyDescent="0.3">
      <c r="A62" s="154" t="s">
        <v>116</v>
      </c>
      <c r="B62" s="155"/>
    </row>
    <row r="63" spans="1:2" s="11" customFormat="1" ht="21.6" customHeight="1" x14ac:dyDescent="0.3">
      <c r="A63" s="26" t="s">
        <v>93</v>
      </c>
      <c r="B63" s="21" t="str">
        <f>'Fall 2 - Data '!AB6</f>
        <v>No Data</v>
      </c>
    </row>
    <row r="64" spans="1:2" s="11" customFormat="1" ht="18" customHeight="1" x14ac:dyDescent="0.3">
      <c r="A64" s="26" t="s">
        <v>94</v>
      </c>
      <c r="B64" s="21" t="str">
        <f>'Fall 2 - Data '!AC6</f>
        <v>No Data</v>
      </c>
    </row>
    <row r="65" spans="1:2" s="11" customFormat="1" ht="17.399999999999999" customHeight="1" x14ac:dyDescent="0.3">
      <c r="A65" s="29" t="s">
        <v>97</v>
      </c>
      <c r="B65" s="30" t="s">
        <v>98</v>
      </c>
    </row>
    <row r="66" spans="1:2" s="11" customFormat="1" ht="109.5" customHeight="1" x14ac:dyDescent="0.3">
      <c r="A66" s="31" t="s">
        <v>117</v>
      </c>
      <c r="B66" s="32" t="s">
        <v>117</v>
      </c>
    </row>
    <row r="67" spans="1:2" s="15" customFormat="1" ht="23.25" customHeight="1" x14ac:dyDescent="0.3">
      <c r="A67" s="158" t="s">
        <v>104</v>
      </c>
      <c r="B67" s="159"/>
    </row>
    <row r="68" spans="1:2" s="15" customFormat="1" ht="114" customHeight="1" x14ac:dyDescent="0.3">
      <c r="A68" s="191"/>
      <c r="B68" s="192"/>
    </row>
    <row r="69" spans="1:2" s="15" customFormat="1" ht="21.9" customHeight="1" x14ac:dyDescent="0.3">
      <c r="A69" s="193"/>
      <c r="B69" s="193"/>
    </row>
    <row r="70" spans="1:2" s="15" customFormat="1" ht="26.4" customHeight="1" thickBot="1" x14ac:dyDescent="0.35">
      <c r="A70" s="172" t="s">
        <v>118</v>
      </c>
      <c r="B70" s="173"/>
    </row>
    <row r="71" spans="1:2" s="15" customFormat="1" ht="41.4" customHeight="1" x14ac:dyDescent="0.3">
      <c r="A71" s="174" t="s">
        <v>119</v>
      </c>
      <c r="B71" s="175"/>
    </row>
    <row r="72" spans="1:2" s="15" customFormat="1" ht="269.10000000000002" customHeight="1" thickBot="1" x14ac:dyDescent="0.35">
      <c r="A72" s="34" t="s">
        <v>120</v>
      </c>
      <c r="B72" s="35" t="s">
        <v>121</v>
      </c>
    </row>
    <row r="73" spans="1:2" s="15" customFormat="1" ht="54.9" customHeight="1" x14ac:dyDescent="0.3">
      <c r="A73" s="176" t="s">
        <v>122</v>
      </c>
      <c r="B73" s="177"/>
    </row>
    <row r="74" spans="1:2" s="15" customFormat="1" ht="315.60000000000002" customHeight="1" thickBot="1" x14ac:dyDescent="0.35">
      <c r="A74" s="34" t="s">
        <v>120</v>
      </c>
      <c r="B74" s="35" t="s">
        <v>123</v>
      </c>
    </row>
    <row r="75" spans="1:2" s="15" customFormat="1" ht="41.4" customHeight="1" x14ac:dyDescent="0.3">
      <c r="A75" s="178" t="s">
        <v>124</v>
      </c>
      <c r="B75" s="179"/>
    </row>
    <row r="76" spans="1:2" s="15" customFormat="1" ht="168.9" customHeight="1" thickBot="1" x14ac:dyDescent="0.35">
      <c r="A76" s="36" t="s">
        <v>125</v>
      </c>
      <c r="B76" s="37" t="s">
        <v>126</v>
      </c>
    </row>
    <row r="77" spans="1:2" s="15" customFormat="1" ht="24.9" customHeight="1" thickBot="1" x14ac:dyDescent="0.35">
      <c r="A77" s="25"/>
      <c r="B77" s="25"/>
    </row>
    <row r="78" spans="1:2" s="15" customFormat="1" ht="24" customHeight="1" thickBot="1" x14ac:dyDescent="0.35">
      <c r="A78" s="180" t="s">
        <v>127</v>
      </c>
      <c r="B78" s="181"/>
    </row>
    <row r="79" spans="1:2" s="15" customFormat="1" ht="23.4" customHeight="1" x14ac:dyDescent="0.3">
      <c r="A79" s="170" t="s">
        <v>128</v>
      </c>
      <c r="B79" s="171"/>
    </row>
    <row r="80" spans="1:2" s="15" customFormat="1" ht="310.5" customHeight="1" thickBot="1" x14ac:dyDescent="0.35">
      <c r="A80" s="184" t="s">
        <v>129</v>
      </c>
      <c r="B80" s="185"/>
    </row>
    <row r="81" spans="1:2" s="15" customFormat="1" ht="20.399999999999999" customHeight="1" x14ac:dyDescent="0.3">
      <c r="A81" s="170" t="s">
        <v>130</v>
      </c>
      <c r="B81" s="171"/>
    </row>
    <row r="82" spans="1:2" s="24" customFormat="1" ht="409.6" customHeight="1" thickBot="1" x14ac:dyDescent="0.35">
      <c r="A82" s="156" t="s">
        <v>131</v>
      </c>
      <c r="B82" s="157"/>
    </row>
    <row r="83" spans="1:2" ht="23.4" customHeight="1" x14ac:dyDescent="0.3">
      <c r="A83" s="170" t="s">
        <v>132</v>
      </c>
      <c r="B83" s="171"/>
    </row>
    <row r="84" spans="1:2" ht="345.6" customHeight="1" thickBot="1" x14ac:dyDescent="0.35">
      <c r="A84" s="190" t="s">
        <v>133</v>
      </c>
      <c r="B84" s="157"/>
    </row>
    <row r="85" spans="1:2" ht="28.5" customHeight="1" x14ac:dyDescent="0.3">
      <c r="A85" s="188" t="s">
        <v>134</v>
      </c>
      <c r="B85" s="189"/>
    </row>
    <row r="86" spans="1:2" ht="336" customHeight="1" thickBot="1" x14ac:dyDescent="0.35">
      <c r="A86" s="182" t="s">
        <v>135</v>
      </c>
      <c r="B86" s="183"/>
    </row>
  </sheetData>
  <mergeCells count="37">
    <mergeCell ref="A19:B19"/>
    <mergeCell ref="A1:B1"/>
    <mergeCell ref="A3:B3"/>
    <mergeCell ref="A4:B4"/>
    <mergeCell ref="A16:B16"/>
    <mergeCell ref="A17:B17"/>
    <mergeCell ref="A53:B53"/>
    <mergeCell ref="A26:B26"/>
    <mergeCell ref="A27:B27"/>
    <mergeCell ref="A29:B29"/>
    <mergeCell ref="A35:B35"/>
    <mergeCell ref="A36:B36"/>
    <mergeCell ref="A38:B38"/>
    <mergeCell ref="A43:B43"/>
    <mergeCell ref="A44:B44"/>
    <mergeCell ref="A46:B46"/>
    <mergeCell ref="A50:B50"/>
    <mergeCell ref="A51:B51"/>
    <mergeCell ref="A73:B73"/>
    <mergeCell ref="A59:B59"/>
    <mergeCell ref="A60:B60"/>
    <mergeCell ref="A62:B62"/>
    <mergeCell ref="A67:B67"/>
    <mergeCell ref="A68:B68"/>
    <mergeCell ref="A69:B69"/>
    <mergeCell ref="A70:B70"/>
    <mergeCell ref="A71:B71"/>
    <mergeCell ref="A83:B83"/>
    <mergeCell ref="A84:B84"/>
    <mergeCell ref="A85:B85"/>
    <mergeCell ref="A86:B86"/>
    <mergeCell ref="A75:B75"/>
    <mergeCell ref="A78:B78"/>
    <mergeCell ref="A79:B79"/>
    <mergeCell ref="A80:B80"/>
    <mergeCell ref="A81:B81"/>
    <mergeCell ref="A82:B82"/>
  </mergeCells>
  <pageMargins left="0.5" right="0.5" top="0.5" bottom="0.5" header="0.3" footer="0.3"/>
  <pageSetup scale="69" orientation="portrait" r:id="rId1"/>
  <rowBreaks count="4" manualBreakCount="4">
    <brk id="24" max="16383" man="1"/>
    <brk id="55" max="1" man="1"/>
    <brk id="66" max="16383" man="1"/>
    <brk id="74"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C3153-0875-4D44-96F5-62EC58A07992}">
  <sheetPr>
    <tabColor theme="9" tint="0.39997558519241921"/>
  </sheetPr>
  <dimension ref="B20:AI31"/>
  <sheetViews>
    <sheetView showGridLines="0" topLeftCell="B19" zoomScaleNormal="100" workbookViewId="0">
      <selection activeCell="S25" sqref="S25"/>
    </sheetView>
  </sheetViews>
  <sheetFormatPr defaultRowHeight="14.4" x14ac:dyDescent="0.3"/>
  <cols>
    <col min="27" max="27" width="4" customWidth="1"/>
    <col min="28" max="28" width="15.33203125" customWidth="1"/>
    <col min="30" max="30" width="15.109375" customWidth="1"/>
    <col min="31" max="33" width="11" customWidth="1"/>
    <col min="34" max="34" width="10.33203125" customWidth="1"/>
    <col min="35" max="35" width="15.109375" customWidth="1"/>
    <col min="36" max="36" width="15.44140625" customWidth="1"/>
    <col min="37" max="37" width="3.5546875" customWidth="1"/>
  </cols>
  <sheetData>
    <row r="20" spans="2:35" x14ac:dyDescent="0.3">
      <c r="AI20" s="113"/>
    </row>
    <row r="21" spans="2:35" x14ac:dyDescent="0.3">
      <c r="B21" s="117"/>
      <c r="O21" s="117"/>
    </row>
    <row r="22" spans="2:35" x14ac:dyDescent="0.3">
      <c r="AI22" s="111"/>
    </row>
    <row r="24" spans="2:35" x14ac:dyDescent="0.3">
      <c r="AE24" s="111"/>
      <c r="AF24" s="118" t="s">
        <v>144</v>
      </c>
      <c r="AG24" s="118" t="s">
        <v>143</v>
      </c>
      <c r="AH24" s="118" t="s">
        <v>142</v>
      </c>
    </row>
    <row r="25" spans="2:35" x14ac:dyDescent="0.3">
      <c r="AE25" s="119" t="s">
        <v>54</v>
      </c>
      <c r="AF25" s="120">
        <f>'Fall - Data'!B6</f>
        <v>0.9</v>
      </c>
      <c r="AG25" s="121">
        <f>'Fall 2 - Data '!B6</f>
        <v>1.95</v>
      </c>
      <c r="AH25" s="122">
        <f>IFERROR(AF25-AG25,"No Data")</f>
        <v>-1.0499999999999998</v>
      </c>
    </row>
    <row r="26" spans="2:35" x14ac:dyDescent="0.3">
      <c r="B26" s="117"/>
      <c r="O26" s="117"/>
      <c r="AE26" s="119" t="s">
        <v>55</v>
      </c>
      <c r="AF26" s="121">
        <f>'Fall - Data'!C6</f>
        <v>0.83333333333333337</v>
      </c>
      <c r="AG26" s="121">
        <f>'Fall 2 - Data '!C6</f>
        <v>0.54999999999999993</v>
      </c>
      <c r="AH26" s="122">
        <f t="shared" ref="AH26:AH31" si="0">IFERROR(AF26-AG26,"No Data")</f>
        <v>0.28333333333333344</v>
      </c>
    </row>
    <row r="27" spans="2:35" x14ac:dyDescent="0.3">
      <c r="AE27" s="119" t="s">
        <v>56</v>
      </c>
      <c r="AF27" s="121">
        <f>'Fall - Data'!D6</f>
        <v>0.55999999999999994</v>
      </c>
      <c r="AG27" s="121">
        <f>'Fall 2 - Data '!D6</f>
        <v>0.52</v>
      </c>
      <c r="AH27" s="122">
        <f t="shared" si="0"/>
        <v>3.9999999999999925E-2</v>
      </c>
    </row>
    <row r="28" spans="2:35" x14ac:dyDescent="0.3">
      <c r="L28" s="111"/>
      <c r="M28" s="111"/>
      <c r="N28" s="111"/>
      <c r="P28" s="111"/>
      <c r="Q28" s="111"/>
      <c r="R28" s="133"/>
      <c r="AE28" s="119" t="s">
        <v>57</v>
      </c>
      <c r="AF28" s="121">
        <f>'Fall - Data'!E6</f>
        <v>0.71666666666666667</v>
      </c>
      <c r="AG28" s="121">
        <f>'Fall 2 - Data '!E6</f>
        <v>0.51428571428571435</v>
      </c>
      <c r="AH28" s="122">
        <f t="shared" si="0"/>
        <v>0.20238095238095233</v>
      </c>
    </row>
    <row r="29" spans="2:35" x14ac:dyDescent="0.3">
      <c r="AE29" s="119" t="s">
        <v>58</v>
      </c>
      <c r="AF29" s="121">
        <f>'Fall - Data'!F6</f>
        <v>0.6</v>
      </c>
      <c r="AG29" s="121">
        <f>'Fall 2 - Data '!F6</f>
        <v>0.52500000000000002</v>
      </c>
      <c r="AH29" s="122">
        <f t="shared" si="0"/>
        <v>7.4999999999999956E-2</v>
      </c>
    </row>
    <row r="30" spans="2:35" x14ac:dyDescent="0.3">
      <c r="AE30" s="119" t="s">
        <v>59</v>
      </c>
      <c r="AF30" s="121">
        <f>'Fall - Data'!G6</f>
        <v>0.62</v>
      </c>
      <c r="AG30" s="121">
        <f>'Fall 2 - Data '!G6</f>
        <v>0.64</v>
      </c>
      <c r="AH30" s="122">
        <f t="shared" si="0"/>
        <v>-2.0000000000000018E-2</v>
      </c>
    </row>
    <row r="31" spans="2:35" x14ac:dyDescent="0.3">
      <c r="B31" s="117"/>
      <c r="O31" s="117"/>
      <c r="AE31" s="119" t="s">
        <v>60</v>
      </c>
      <c r="AF31" s="120">
        <f>'Fall - Data'!H6</f>
        <v>0.93333333333333324</v>
      </c>
      <c r="AG31" s="121">
        <f>'Fall 2 - Data '!H6</f>
        <v>0.56666666666666665</v>
      </c>
      <c r="AH31" s="122">
        <f t="shared" si="0"/>
        <v>0.36666666666666659</v>
      </c>
    </row>
  </sheetData>
  <pageMargins left="0.7" right="0.7" top="0.75" bottom="0.75" header="0.3" footer="0.3"/>
  <pageSetup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3FF44-6F8B-4115-9076-FA31EE66672B}">
  <sheetPr>
    <tabColor rgb="FF92D050"/>
  </sheetPr>
  <dimension ref="A1"/>
  <sheetViews>
    <sheetView workbookViewId="0">
      <selection activeCell="E10" sqref="E10"/>
    </sheetView>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BAF16-4474-4978-920D-4686BB9C0EBB}">
  <sheetPr>
    <tabColor rgb="FF00B0F0"/>
  </sheetPr>
  <dimension ref="A1:A12"/>
  <sheetViews>
    <sheetView workbookViewId="0">
      <selection activeCell="H25" sqref="H25"/>
    </sheetView>
  </sheetViews>
  <sheetFormatPr defaultRowHeight="14.4" x14ac:dyDescent="0.3"/>
  <sheetData>
    <row r="1" spans="1:1" x14ac:dyDescent="0.3">
      <c r="A1" t="s">
        <v>174</v>
      </c>
    </row>
    <row r="2" spans="1:1" x14ac:dyDescent="0.3">
      <c r="A2" t="s">
        <v>175</v>
      </c>
    </row>
    <row r="3" spans="1:1" x14ac:dyDescent="0.3">
      <c r="A3" t="s">
        <v>176</v>
      </c>
    </row>
    <row r="4" spans="1:1" x14ac:dyDescent="0.3">
      <c r="A4" t="s">
        <v>177</v>
      </c>
    </row>
    <row r="5" spans="1:1" ht="14.25" customHeight="1" x14ac:dyDescent="0.3">
      <c r="A5" t="s">
        <v>148</v>
      </c>
    </row>
    <row r="6" spans="1:1" x14ac:dyDescent="0.3">
      <c r="A6" t="s">
        <v>178</v>
      </c>
    </row>
    <row r="7" spans="1:1" x14ac:dyDescent="0.3">
      <c r="A7" t="s">
        <v>179</v>
      </c>
    </row>
    <row r="8" spans="1:1" x14ac:dyDescent="0.3">
      <c r="A8" t="s">
        <v>180</v>
      </c>
    </row>
    <row r="9" spans="1:1" x14ac:dyDescent="0.3">
      <c r="A9" t="s">
        <v>181</v>
      </c>
    </row>
    <row r="10" spans="1:1" x14ac:dyDescent="0.3">
      <c r="A10" t="s">
        <v>182</v>
      </c>
    </row>
    <row r="11" spans="1:1" x14ac:dyDescent="0.3">
      <c r="A11" t="s">
        <v>183</v>
      </c>
    </row>
    <row r="12" spans="1:1" x14ac:dyDescent="0.3">
      <c r="A12" t="s">
        <v>184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6ee3f84-1334-464c-a686-c7fca4e3a873" xsi:nil="true"/>
    <lcf76f155ced4ddcb4097134ff3c332f xmlns="d8a7da38-c494-4646-b315-55d8225e615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C0C448D9DF05D8408BA5D1334B6C3F56" ma:contentTypeVersion="17" ma:contentTypeDescription="Create a new document." ma:contentTypeScope="" ma:versionID="563bae1ed54c2bbfda9cca19d4675f73">
  <xsd:schema xmlns:xsd="http://www.w3.org/2001/XMLSchema" xmlns:xs="http://www.w3.org/2001/XMLSchema" xmlns:p="http://schemas.microsoft.com/office/2006/metadata/properties" xmlns:ns2="d8a7da38-c494-4646-b315-55d8225e6152" xmlns:ns3="e6ee3f84-1334-464c-a686-c7fca4e3a873" targetNamespace="http://schemas.microsoft.com/office/2006/metadata/properties" ma:root="true" ma:fieldsID="d36d2584b85541587e147e00c5a1dc22" ns2:_="" ns3:_="">
    <xsd:import namespace="d8a7da38-c494-4646-b315-55d8225e6152"/>
    <xsd:import namespace="e6ee3f84-1334-464c-a686-c7fca4e3a87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a7da38-c494-4646-b315-55d8225e61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198376a-8c75-4b93-93e9-585c55298e9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6ee3f84-1334-464c-a686-c7fca4e3a87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1d90bd96-783e-42e0-921d-9a75b0549faf}" ma:internalName="TaxCatchAll" ma:showField="CatchAllData" ma:web="e6ee3f84-1334-464c-a686-c7fca4e3a8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B6F6191-B495-48F4-8D5F-FD6C547C44C4}">
  <ds:schemaRefs>
    <ds:schemaRef ds:uri="http://purl.org/dc/elements/1.1/"/>
    <ds:schemaRef ds:uri="http://www.w3.org/XML/1998/namespace"/>
    <ds:schemaRef ds:uri="http://purl.org/dc/terms/"/>
    <ds:schemaRef ds:uri="http://schemas.microsoft.com/office/infopath/2007/PartnerControls"/>
    <ds:schemaRef ds:uri="http://schemas.openxmlformats.org/package/2006/metadata/core-properties"/>
    <ds:schemaRef ds:uri="d8a7da38-c494-4646-b315-55d8225e6152"/>
    <ds:schemaRef ds:uri="http://schemas.microsoft.com/office/2006/documentManagement/types"/>
    <ds:schemaRef ds:uri="e6ee3f84-1334-464c-a686-c7fca4e3a873"/>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B8E857ED-7247-4938-8F55-F136A55A49A8}">
  <ds:schemaRefs>
    <ds:schemaRef ds:uri="http://schemas.microsoft.com/sharepoint/v3/contenttype/forms"/>
  </ds:schemaRefs>
</ds:datastoreItem>
</file>

<file path=customXml/itemProps3.xml><?xml version="1.0" encoding="utf-8"?>
<ds:datastoreItem xmlns:ds="http://schemas.openxmlformats.org/officeDocument/2006/customXml" ds:itemID="{F99D52C0-0581-4029-9CB2-73212EC5A965}">
  <ds:schemaRefs>
    <ds:schemaRef ds:uri="http://schemas.microsoft.com/DataMashup"/>
  </ds:schemaRefs>
</ds:datastoreItem>
</file>

<file path=customXml/itemProps4.xml><?xml version="1.0" encoding="utf-8"?>
<ds:datastoreItem xmlns:ds="http://schemas.openxmlformats.org/officeDocument/2006/customXml" ds:itemID="{DEA40016-9009-49EE-95DB-EE6A21E2F3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a7da38-c494-4646-b315-55d8225e6152"/>
    <ds:schemaRef ds:uri="e6ee3f84-1334-464c-a686-c7fca4e3a8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vt:i4>
      </vt:variant>
    </vt:vector>
  </HeadingPairs>
  <TitlesOfParts>
    <vt:vector size="14" baseType="lpstr">
      <vt:lpstr>Cover</vt:lpstr>
      <vt:lpstr>Checklist</vt:lpstr>
      <vt:lpstr>Fall - Data</vt:lpstr>
      <vt:lpstr>Fall- Report</vt:lpstr>
      <vt:lpstr>Fall 2 - Data </vt:lpstr>
      <vt:lpstr>Fall 2- Report </vt:lpstr>
      <vt:lpstr>Charts</vt:lpstr>
      <vt:lpstr>A &amp; E School Report</vt:lpstr>
      <vt:lpstr>Attendance</vt:lpstr>
      <vt:lpstr>Cover!Print_Area</vt:lpstr>
      <vt:lpstr>'Fall - Data'!Print_Area</vt:lpstr>
      <vt:lpstr>'Fall 2 - Data '!Print_Area</vt:lpstr>
      <vt:lpstr>'Fall 2- Report '!Print_Area</vt:lpstr>
      <vt:lpstr>'Fall- Report'!Print_Area</vt:lpstr>
    </vt:vector>
  </TitlesOfParts>
  <Manager/>
  <Company>Arizona Department of Education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ltoenje</dc:creator>
  <cp:keywords/>
  <dc:description/>
  <cp:lastModifiedBy>Arrieta, Tawnee</cp:lastModifiedBy>
  <cp:revision/>
  <dcterms:created xsi:type="dcterms:W3CDTF">2013-08-19T00:30:19Z</dcterms:created>
  <dcterms:modified xsi:type="dcterms:W3CDTF">2026-04-28T15:35:07Z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0x010100C0C448D9DF05D8408BA5D1334B6C3F56</vt:lpwstr>
  </property>
  <property fmtid="{D5CDD505-2E9C-101B-9397-08002B2CF9AE}" pid="3" name="MediaServiceImageTags">
    <vt:lpwstr/>
  </property>
</Properties>
</file>